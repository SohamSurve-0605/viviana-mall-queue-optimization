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DELL\PycharmProjects\JupyterProject\"/>
    </mc:Choice>
  </mc:AlternateContent>
  <xr:revisionPtr revIDLastSave="0" documentId="8_{3DB278DB-388D-4FAF-B573-1C27D02C3A76}" xr6:coauthVersionLast="36" xr6:coauthVersionMax="36" xr10:uidLastSave="{00000000-0000-0000-0000-000000000000}"/>
  <bookViews>
    <workbookView xWindow="0" yWindow="0" windowWidth="19200" windowHeight="6810" activeTab="4" xr2:uid="{00000000-000D-0000-FFFF-FFFF00000000}"/>
  </bookViews>
  <sheets>
    <sheet name="Descriptives" sheetId="2" r:id="rId1"/>
    <sheet name="Queueing Params" sheetId="4" r:id="rId2"/>
    <sheet name="Pivot Chart" sheetId="3" r:id="rId3"/>
    <sheet name="Data" sheetId="1" r:id="rId4"/>
    <sheet name="Plots" sheetId="5" r:id="rId5"/>
  </sheets>
  <definedNames>
    <definedName name="_xlchart.v1.0" hidden="1">Data!$I$1</definedName>
    <definedName name="_xlchart.v1.1" hidden="1">Data!$I$2:$I$501</definedName>
    <definedName name="_xlchart.v1.10" hidden="1">Data!$L$1</definedName>
    <definedName name="_xlchart.v1.11" hidden="1">Data!$L$2:$L$501</definedName>
    <definedName name="_xlchart.v1.12" hidden="1">Data!$B$2:$B$501</definedName>
    <definedName name="_xlchart.v1.13" hidden="1">Data!$I$1</definedName>
    <definedName name="_xlchart.v1.14" hidden="1">Data!$I$2:$I$501</definedName>
    <definedName name="_xlchart.v1.15" hidden="1">Data!$I$1</definedName>
    <definedName name="_xlchart.v1.16" hidden="1">Data!$I$2:$I$501</definedName>
    <definedName name="_xlchart.v1.17" hidden="1">Data!$B$2:$B$501</definedName>
    <definedName name="_xlchart.v1.18" hidden="1">Data!$I$1</definedName>
    <definedName name="_xlchart.v1.19" hidden="1">Data!$I$2:$I$501</definedName>
    <definedName name="_xlchart.v1.2" hidden="1">Data!$A$2:$H$501</definedName>
    <definedName name="_xlchart.v1.3" hidden="1">Data!$B$2:$B$501</definedName>
    <definedName name="_xlchart.v1.4" hidden="1">Data!$I$1</definedName>
    <definedName name="_xlchart.v1.5" hidden="1">Data!$I$2:$I$501</definedName>
    <definedName name="_xlchart.v1.6" hidden="1">Data!$J$1</definedName>
    <definedName name="_xlchart.v1.7" hidden="1">Data!$J$2:$J$501</definedName>
    <definedName name="_xlchart.v1.8" hidden="1">Data!$K$1</definedName>
    <definedName name="_xlchart.v1.9" hidden="1">Data!$K$2:$K$501</definedName>
  </definedNames>
  <calcPr calcId="191029"/>
  <pivotCaches>
    <pivotCache cacheId="5" r:id="rId6"/>
  </pivotCaches>
</workbook>
</file>

<file path=xl/calcChain.xml><?xml version="1.0" encoding="utf-8"?>
<calcChain xmlns="http://schemas.openxmlformats.org/spreadsheetml/2006/main">
  <c r="B14" i="4" l="1"/>
  <c r="B12" i="4"/>
  <c r="B11" i="4"/>
  <c r="H6" i="4"/>
  <c r="H3" i="4"/>
  <c r="G6" i="4"/>
  <c r="G5" i="4"/>
  <c r="F6" i="4"/>
  <c r="F5" i="4"/>
  <c r="F4" i="4"/>
  <c r="F3" i="4"/>
  <c r="E6" i="4"/>
  <c r="E5" i="4"/>
  <c r="E4" i="4"/>
  <c r="E3" i="4"/>
  <c r="D6" i="4"/>
  <c r="D5" i="4"/>
  <c r="H5" i="4" s="1"/>
  <c r="B6" i="4"/>
  <c r="B5" i="4"/>
  <c r="B4" i="4"/>
  <c r="D3" i="4"/>
  <c r="B3" i="4"/>
  <c r="B15" i="4"/>
  <c r="B16" i="4" l="1"/>
  <c r="B17" i="4" s="1"/>
  <c r="D4" i="4" l="1"/>
  <c r="H4" i="4" s="1"/>
</calcChain>
</file>

<file path=xl/sharedStrings.xml><?xml version="1.0" encoding="utf-8"?>
<sst xmlns="http://schemas.openxmlformats.org/spreadsheetml/2006/main" count="3597" uniqueCount="1517">
  <si>
    <t>Observation_ID</t>
  </si>
  <si>
    <t>Outlet_Name</t>
  </si>
  <si>
    <t>Date</t>
  </si>
  <si>
    <t>Day_Type</t>
  </si>
  <si>
    <t>Time_Slot</t>
  </si>
  <si>
    <t>Arrival_Time</t>
  </si>
  <si>
    <t>Service_Start_Time</t>
  </si>
  <si>
    <t>Service_End_Time</t>
  </si>
  <si>
    <t>Wait_Time_mins</t>
  </si>
  <si>
    <t>Service_Time_mins</t>
  </si>
  <si>
    <t>Num_People_Ahead</t>
  </si>
  <si>
    <t>Num_Servers_Open</t>
  </si>
  <si>
    <t>McDonald's</t>
  </si>
  <si>
    <t>01-10-2026</t>
  </si>
  <si>
    <t>Weekday</t>
  </si>
  <si>
    <t>Night</t>
  </si>
  <si>
    <t>18:15:14</t>
  </si>
  <si>
    <t>18:37:43</t>
  </si>
  <si>
    <t>18:42:30</t>
  </si>
  <si>
    <t>20:02:01</t>
  </si>
  <si>
    <t>20:09:11</t>
  </si>
  <si>
    <t>20:12:41</t>
  </si>
  <si>
    <t>KFC</t>
  </si>
  <si>
    <t>12:35:12</t>
  </si>
  <si>
    <t>12:40:34</t>
  </si>
  <si>
    <t>12:46:04</t>
  </si>
  <si>
    <t>Burger King</t>
  </si>
  <si>
    <t>Evening</t>
  </si>
  <si>
    <t>18:51:55</t>
  </si>
  <si>
    <t>19:17:05</t>
  </si>
  <si>
    <t>19:22:24</t>
  </si>
  <si>
    <t>Weekend</t>
  </si>
  <si>
    <t>18:09:13</t>
  </si>
  <si>
    <t>18:32:53</t>
  </si>
  <si>
    <t>18:41:45</t>
  </si>
  <si>
    <t>13:22:54</t>
  </si>
  <si>
    <t>13:27:06</t>
  </si>
  <si>
    <t>13:32:03</t>
  </si>
  <si>
    <t>Dominos</t>
  </si>
  <si>
    <t>21:34:07</t>
  </si>
  <si>
    <t>22:13:43</t>
  </si>
  <si>
    <t>22:19:36</t>
  </si>
  <si>
    <t>19:36:12</t>
  </si>
  <si>
    <t>19:45:07</t>
  </si>
  <si>
    <t>19:50:50</t>
  </si>
  <si>
    <t>17:49:18</t>
  </si>
  <si>
    <t>17:59:06</t>
  </si>
  <si>
    <t>18:04:13</t>
  </si>
  <si>
    <t>18:29:40</t>
  </si>
  <si>
    <t>18:42:44</t>
  </si>
  <si>
    <t>18:48:30</t>
  </si>
  <si>
    <t>17:42:17</t>
  </si>
  <si>
    <t>17:56:32</t>
  </si>
  <si>
    <t>18:04:35</t>
  </si>
  <si>
    <t>17:10:29</t>
  </si>
  <si>
    <t>17:20:13</t>
  </si>
  <si>
    <t>17:23:49</t>
  </si>
  <si>
    <t>19:53:49</t>
  </si>
  <si>
    <t>21:22:55</t>
  </si>
  <si>
    <t>21:28:56</t>
  </si>
  <si>
    <t>20:17:04</t>
  </si>
  <si>
    <t>20:32:29</t>
  </si>
  <si>
    <t>20:37:55</t>
  </si>
  <si>
    <t>21:25:56</t>
  </si>
  <si>
    <t>21:45:29</t>
  </si>
  <si>
    <t>21:52:56</t>
  </si>
  <si>
    <t>14:15:47</t>
  </si>
  <si>
    <t>14:20:41</t>
  </si>
  <si>
    <t>14:26:11</t>
  </si>
  <si>
    <t>20:23:14</t>
  </si>
  <si>
    <t>22:00:24</t>
  </si>
  <si>
    <t>22:08:48</t>
  </si>
  <si>
    <t>Afternoon</t>
  </si>
  <si>
    <t>13:09:40</t>
  </si>
  <si>
    <t>13:17:40</t>
  </si>
  <si>
    <t>13:21:18</t>
  </si>
  <si>
    <t>20:38:29</t>
  </si>
  <si>
    <t>20:47:42</t>
  </si>
  <si>
    <t>20:52:35</t>
  </si>
  <si>
    <t>13:43:56</t>
  </si>
  <si>
    <t>14:09:29</t>
  </si>
  <si>
    <t>14:15:38</t>
  </si>
  <si>
    <t>18:27:10</t>
  </si>
  <si>
    <t>19:02:42</t>
  </si>
  <si>
    <t>19:09:47</t>
  </si>
  <si>
    <t>14:32:58</t>
  </si>
  <si>
    <t>14:33:28</t>
  </si>
  <si>
    <t>14:37:04</t>
  </si>
  <si>
    <t>19:48:10</t>
  </si>
  <si>
    <t>20:09:28</t>
  </si>
  <si>
    <t>20:15:13</t>
  </si>
  <si>
    <t>12:07:59</t>
  </si>
  <si>
    <t>12:27:42</t>
  </si>
  <si>
    <t>12:33:08</t>
  </si>
  <si>
    <t>17:56:36</t>
  </si>
  <si>
    <t>18:22:15</t>
  </si>
  <si>
    <t>18:29:28</t>
  </si>
  <si>
    <t>14:08:42</t>
  </si>
  <si>
    <t>14:11:30</t>
  </si>
  <si>
    <t>20:13:59</t>
  </si>
  <si>
    <t>20:31:17</t>
  </si>
  <si>
    <t>20:37:38</t>
  </si>
  <si>
    <t>19:28:57</t>
  </si>
  <si>
    <t>19:57:04</t>
  </si>
  <si>
    <t>20:04:57</t>
  </si>
  <si>
    <t>17:04:21</t>
  </si>
  <si>
    <t>17:32:36</t>
  </si>
  <si>
    <t>17:35:44</t>
  </si>
  <si>
    <t>13:45:40</t>
  </si>
  <si>
    <t>13:55:41</t>
  </si>
  <si>
    <t>13:58:35</t>
  </si>
  <si>
    <t>19:04:32</t>
  </si>
  <si>
    <t>19:08:19</t>
  </si>
  <si>
    <t>19:13:54</t>
  </si>
  <si>
    <t>14:46:59</t>
  </si>
  <si>
    <t>15:06:09</t>
  </si>
  <si>
    <t>15:15:48</t>
  </si>
  <si>
    <t>20:12:06</t>
  </si>
  <si>
    <t>20:54:27</t>
  </si>
  <si>
    <t>21:00:31</t>
  </si>
  <si>
    <t>20:29:55</t>
  </si>
  <si>
    <t>20:39:39</t>
  </si>
  <si>
    <t>20:47:10</t>
  </si>
  <si>
    <t>20:46:21</t>
  </si>
  <si>
    <t>21:02:45</t>
  </si>
  <si>
    <t>21:04:58</t>
  </si>
  <si>
    <t>21:08:27</t>
  </si>
  <si>
    <t>21:12:35</t>
  </si>
  <si>
    <t>21:18:57</t>
  </si>
  <si>
    <t>13:28:51</t>
  </si>
  <si>
    <t>13:46:51</t>
  </si>
  <si>
    <t>13:54:11</t>
  </si>
  <si>
    <t>12:05:59</t>
  </si>
  <si>
    <t>12:25:48</t>
  </si>
  <si>
    <t>12:29:53</t>
  </si>
  <si>
    <t>21:13:55</t>
  </si>
  <si>
    <t>21:56:27</t>
  </si>
  <si>
    <t>22:02:51</t>
  </si>
  <si>
    <t>12:24:16</t>
  </si>
  <si>
    <t>12:30:12</t>
  </si>
  <si>
    <t>12:35:36</t>
  </si>
  <si>
    <t>21:09:12</t>
  </si>
  <si>
    <t>22:02:01</t>
  </si>
  <si>
    <t>22:12:09</t>
  </si>
  <si>
    <t>12:47:20</t>
  </si>
  <si>
    <t>13:33:33</t>
  </si>
  <si>
    <t>13:39:35</t>
  </si>
  <si>
    <t>14:03:32</t>
  </si>
  <si>
    <t>14:13:41</t>
  </si>
  <si>
    <t>14:18:23</t>
  </si>
  <si>
    <t>13:43:55</t>
  </si>
  <si>
    <t>14:30:28</t>
  </si>
  <si>
    <t>14:34:45</t>
  </si>
  <si>
    <t>17:37:38</t>
  </si>
  <si>
    <t>17:56:57</t>
  </si>
  <si>
    <t>18:02:54</t>
  </si>
  <si>
    <t>19:59:16</t>
  </si>
  <si>
    <t>20:08:13</t>
  </si>
  <si>
    <t>20:13:16</t>
  </si>
  <si>
    <t>20:08:42</t>
  </si>
  <si>
    <t>20:34:31</t>
  </si>
  <si>
    <t>20:44:27</t>
  </si>
  <si>
    <t>13:00:29</t>
  </si>
  <si>
    <t>13:30:52</t>
  </si>
  <si>
    <t>13:40:00</t>
  </si>
  <si>
    <t>17:32:16</t>
  </si>
  <si>
    <t>17:32:46</t>
  </si>
  <si>
    <t>17:36:44</t>
  </si>
  <si>
    <t>19:18:10</t>
  </si>
  <si>
    <t>19:38:42</t>
  </si>
  <si>
    <t>19:44:48</t>
  </si>
  <si>
    <t>18:59:42</t>
  </si>
  <si>
    <t>19:29:42</t>
  </si>
  <si>
    <t>19:38:09</t>
  </si>
  <si>
    <t>13:47:35</t>
  </si>
  <si>
    <t>14:27:11</t>
  </si>
  <si>
    <t>14:34:24</t>
  </si>
  <si>
    <t>17:45:21</t>
  </si>
  <si>
    <t>19:07:37</t>
  </si>
  <si>
    <t>19:14:47</t>
  </si>
  <si>
    <t>12:05:40</t>
  </si>
  <si>
    <t>12:57:13</t>
  </si>
  <si>
    <t>13:08:20</t>
  </si>
  <si>
    <t>19:49:08</t>
  </si>
  <si>
    <t>20:08:31</t>
  </si>
  <si>
    <t>20:14:44</t>
  </si>
  <si>
    <t>21:35:45</t>
  </si>
  <si>
    <t>22:17:15</t>
  </si>
  <si>
    <t>22:25:01</t>
  </si>
  <si>
    <t>14:34:02</t>
  </si>
  <si>
    <t>14:48:12</t>
  </si>
  <si>
    <t>14:52:13</t>
  </si>
  <si>
    <t>12:19:23</t>
  </si>
  <si>
    <t>12:41:20</t>
  </si>
  <si>
    <t>12:48:47</t>
  </si>
  <si>
    <t>17:42:06</t>
  </si>
  <si>
    <t>18:12:58</t>
  </si>
  <si>
    <t>18:21:48</t>
  </si>
  <si>
    <t>14:51:51</t>
  </si>
  <si>
    <t>15:05:26</t>
  </si>
  <si>
    <t>15:07:40</t>
  </si>
  <si>
    <t>19:50:59</t>
  </si>
  <si>
    <t>20:04:27</t>
  </si>
  <si>
    <t>20:08:47</t>
  </si>
  <si>
    <t>13:24:55</t>
  </si>
  <si>
    <t>14:04:23</t>
  </si>
  <si>
    <t>14:08:21</t>
  </si>
  <si>
    <t>21:22:19</t>
  </si>
  <si>
    <t>21:24:40</t>
  </si>
  <si>
    <t>21:29:09</t>
  </si>
  <si>
    <t>17:25:21</t>
  </si>
  <si>
    <t>17:37:03</t>
  </si>
  <si>
    <t>17:41:40</t>
  </si>
  <si>
    <t>20:43:53</t>
  </si>
  <si>
    <t>20:49:26</t>
  </si>
  <si>
    <t>20:52:36</t>
  </si>
  <si>
    <t>18:11:37</t>
  </si>
  <si>
    <t>18:24:26</t>
  </si>
  <si>
    <t>18:30:43</t>
  </si>
  <si>
    <t>20:22:46</t>
  </si>
  <si>
    <t>20:34:22</t>
  </si>
  <si>
    <t>20:38:05</t>
  </si>
  <si>
    <t>17:16:02</t>
  </si>
  <si>
    <t>17:22:30</t>
  </si>
  <si>
    <t>17:26:43</t>
  </si>
  <si>
    <t>17:23:27</t>
  </si>
  <si>
    <t>17:45:13</t>
  </si>
  <si>
    <t>17:48:55</t>
  </si>
  <si>
    <t>13:46:57</t>
  </si>
  <si>
    <t>14:09:42</t>
  </si>
  <si>
    <t>14:19:34</t>
  </si>
  <si>
    <t>20:44:18</t>
  </si>
  <si>
    <t>21:21:39</t>
  </si>
  <si>
    <t>21:32:48</t>
  </si>
  <si>
    <t>20:43:47</t>
  </si>
  <si>
    <t>21:10:09</t>
  </si>
  <si>
    <t>21:16:57</t>
  </si>
  <si>
    <t>12:19:18</t>
  </si>
  <si>
    <t>13:12:13</t>
  </si>
  <si>
    <t>13:20:20</t>
  </si>
  <si>
    <t>21:28:43</t>
  </si>
  <si>
    <t>22:06:44</t>
  </si>
  <si>
    <t>22:12:54</t>
  </si>
  <si>
    <t>13:18:32</t>
  </si>
  <si>
    <t>13:30:39</t>
  </si>
  <si>
    <t>13:34:30</t>
  </si>
  <si>
    <t>18:14:51</t>
  </si>
  <si>
    <t>18:45:03</t>
  </si>
  <si>
    <t>18:52:21</t>
  </si>
  <si>
    <t>17:30:39</t>
  </si>
  <si>
    <t>17:47:21</t>
  </si>
  <si>
    <t>17:51:28</t>
  </si>
  <si>
    <t>17:45:44</t>
  </si>
  <si>
    <t>18:00:19</t>
  </si>
  <si>
    <t>18:07:17</t>
  </si>
  <si>
    <t>14:41:44</t>
  </si>
  <si>
    <t>15:10:47</t>
  </si>
  <si>
    <t>15:15:40</t>
  </si>
  <si>
    <t>14:51:44</t>
  </si>
  <si>
    <t>14:53:51</t>
  </si>
  <si>
    <t>14:59:38</t>
  </si>
  <si>
    <t>17:58:54</t>
  </si>
  <si>
    <t>18:17:53</t>
  </si>
  <si>
    <t>18:22:04</t>
  </si>
  <si>
    <t>19:48:57</t>
  </si>
  <si>
    <t>20:11:19</t>
  </si>
  <si>
    <t>20:15:41</t>
  </si>
  <si>
    <t>21:28:16</t>
  </si>
  <si>
    <t>22:02:07</t>
  </si>
  <si>
    <t>22:07:29</t>
  </si>
  <si>
    <t>17:17:28</t>
  </si>
  <si>
    <t>18:40:27</t>
  </si>
  <si>
    <t>18:49:49</t>
  </si>
  <si>
    <t>19:20:57</t>
  </si>
  <si>
    <t>19:44:37</t>
  </si>
  <si>
    <t>19:52:09</t>
  </si>
  <si>
    <t>17:24:44</t>
  </si>
  <si>
    <t>17:39:33</t>
  </si>
  <si>
    <t>17:44:33</t>
  </si>
  <si>
    <t>20:21:34</t>
  </si>
  <si>
    <t>20:41:47</t>
  </si>
  <si>
    <t>20:48:13</t>
  </si>
  <si>
    <t>20:24:57</t>
  </si>
  <si>
    <t>20:31:53</t>
  </si>
  <si>
    <t>20:35:59</t>
  </si>
  <si>
    <t>12:22:19</t>
  </si>
  <si>
    <t>12:45:14</t>
  </si>
  <si>
    <t>12:51:13</t>
  </si>
  <si>
    <t>17:17:27</t>
  </si>
  <si>
    <t>17:26:19</t>
  </si>
  <si>
    <t>17:29:52</t>
  </si>
  <si>
    <t>20:46:10</t>
  </si>
  <si>
    <t>21:04:54</t>
  </si>
  <si>
    <t>21:10:05</t>
  </si>
  <si>
    <t>12:05:41</t>
  </si>
  <si>
    <t>12:21:42</t>
  </si>
  <si>
    <t>12:28:04</t>
  </si>
  <si>
    <t>12:16:24</t>
  </si>
  <si>
    <t>12:28:52</t>
  </si>
  <si>
    <t>12:34:25</t>
  </si>
  <si>
    <t>19:48:56</t>
  </si>
  <si>
    <t>20:10:20</t>
  </si>
  <si>
    <t>20:16:14</t>
  </si>
  <si>
    <t>13:30:01</t>
  </si>
  <si>
    <t>14:00:41</t>
  </si>
  <si>
    <t>14:09:35</t>
  </si>
  <si>
    <t>13:49:41</t>
  </si>
  <si>
    <t>14:02:03</t>
  </si>
  <si>
    <t>14:06:47</t>
  </si>
  <si>
    <t>12:39:09</t>
  </si>
  <si>
    <t>12:50:22</t>
  </si>
  <si>
    <t>12:53:06</t>
  </si>
  <si>
    <t>13:36:13</t>
  </si>
  <si>
    <t>13:51:45</t>
  </si>
  <si>
    <t>13:49:52</t>
  </si>
  <si>
    <t>14:46:56</t>
  </si>
  <si>
    <t>14:53:43</t>
  </si>
  <si>
    <t>12:59:19</t>
  </si>
  <si>
    <t>13:09:46</t>
  </si>
  <si>
    <t>13:15:59</t>
  </si>
  <si>
    <t>17:04:37</t>
  </si>
  <si>
    <t>17:15:34</t>
  </si>
  <si>
    <t>17:22:50</t>
  </si>
  <si>
    <t>18:54:43</t>
  </si>
  <si>
    <t>19:06:58</t>
  </si>
  <si>
    <t>19:12:17</t>
  </si>
  <si>
    <t>20:42:23</t>
  </si>
  <si>
    <t>20:47:23</t>
  </si>
  <si>
    <t>20:50:14</t>
  </si>
  <si>
    <t>21:06:27</t>
  </si>
  <si>
    <t>21:37:48</t>
  </si>
  <si>
    <t>21:46:48</t>
  </si>
  <si>
    <t>14:46:33</t>
  </si>
  <si>
    <t>14:53:52</t>
  </si>
  <si>
    <t>15:00:03</t>
  </si>
  <si>
    <t>20:52:46</t>
  </si>
  <si>
    <t>21:27:11</t>
  </si>
  <si>
    <t>21:36:02</t>
  </si>
  <si>
    <t>13:17:56</t>
  </si>
  <si>
    <t>13:31:23</t>
  </si>
  <si>
    <t>13:39:45</t>
  </si>
  <si>
    <t>20:21:01</t>
  </si>
  <si>
    <t>20:42:53</t>
  </si>
  <si>
    <t>20:49:17</t>
  </si>
  <si>
    <t>17:22:51</t>
  </si>
  <si>
    <t>17:43:35</t>
  </si>
  <si>
    <t>17:51:56</t>
  </si>
  <si>
    <t>18:35:00</t>
  </si>
  <si>
    <t>18:59:40</t>
  </si>
  <si>
    <t>19:09:10</t>
  </si>
  <si>
    <t>20:31:35</t>
  </si>
  <si>
    <t>20:49:28</t>
  </si>
  <si>
    <t>20:54:35</t>
  </si>
  <si>
    <t>12:05:18</t>
  </si>
  <si>
    <t>13:08:55</t>
  </si>
  <si>
    <t>13:15:18</t>
  </si>
  <si>
    <t>19:30:35</t>
  </si>
  <si>
    <t>19:41:01</t>
  </si>
  <si>
    <t>19:46:15</t>
  </si>
  <si>
    <t>19:22:44</t>
  </si>
  <si>
    <t>19:48:05</t>
  </si>
  <si>
    <t>19:58:20</t>
  </si>
  <si>
    <t>17:07:46</t>
  </si>
  <si>
    <t>19:10:04</t>
  </si>
  <si>
    <t>19:18:16</t>
  </si>
  <si>
    <t>14:12:13</t>
  </si>
  <si>
    <t>14:27:17</t>
  </si>
  <si>
    <t>14:35:49</t>
  </si>
  <si>
    <t>18:06:53</t>
  </si>
  <si>
    <t>19:11:48</t>
  </si>
  <si>
    <t>19:18:07</t>
  </si>
  <si>
    <t>14:19:00</t>
  </si>
  <si>
    <t>14:30:10</t>
  </si>
  <si>
    <t>14:37:25</t>
  </si>
  <si>
    <t>12:35:18</t>
  </si>
  <si>
    <t>12:47:45</t>
  </si>
  <si>
    <t>12:52:30</t>
  </si>
  <si>
    <t>12:36:18</t>
  </si>
  <si>
    <t>12:54:25</t>
  </si>
  <si>
    <t>12:59:13</t>
  </si>
  <si>
    <t>14:03:16</t>
  </si>
  <si>
    <t>14:30:21</t>
  </si>
  <si>
    <t>14:36:01</t>
  </si>
  <si>
    <t>21:04:36</t>
  </si>
  <si>
    <t>21:14:12</t>
  </si>
  <si>
    <t>21:19:41</t>
  </si>
  <si>
    <t>18:05:15</t>
  </si>
  <si>
    <t>18:16:34</t>
  </si>
  <si>
    <t>18:21:09</t>
  </si>
  <si>
    <t>20:28:58</t>
  </si>
  <si>
    <t>20:37:11</t>
  </si>
  <si>
    <t>20:40:50</t>
  </si>
  <si>
    <t>12:39:47</t>
  </si>
  <si>
    <t>14:22:13</t>
  </si>
  <si>
    <t>14:31:18</t>
  </si>
  <si>
    <t>13:10:15</t>
  </si>
  <si>
    <t>13:46:22</t>
  </si>
  <si>
    <t>13:54:04</t>
  </si>
  <si>
    <t>20:28:44</t>
  </si>
  <si>
    <t>20:41:18</t>
  </si>
  <si>
    <t>20:45:27</t>
  </si>
  <si>
    <t>17:18:45</t>
  </si>
  <si>
    <t>17:25:42</t>
  </si>
  <si>
    <t>17:59:16</t>
  </si>
  <si>
    <t>18:09:41</t>
  </si>
  <si>
    <t>18:12:48</t>
  </si>
  <si>
    <t>17:41:09</t>
  </si>
  <si>
    <t>18:00:51</t>
  </si>
  <si>
    <t>18:06:18</t>
  </si>
  <si>
    <t>14:50:19</t>
  </si>
  <si>
    <t>15:00:55</t>
  </si>
  <si>
    <t>15:04:23</t>
  </si>
  <si>
    <t>21:44:19</t>
  </si>
  <si>
    <t>21:55:16</t>
  </si>
  <si>
    <t>22:02:32</t>
  </si>
  <si>
    <t>21:28:05</t>
  </si>
  <si>
    <t>21:29:43</t>
  </si>
  <si>
    <t>21:33:12</t>
  </si>
  <si>
    <t>19:38:16</t>
  </si>
  <si>
    <t>20:13:02</t>
  </si>
  <si>
    <t>20:18:52</t>
  </si>
  <si>
    <t>12:48:43</t>
  </si>
  <si>
    <t>12:50:49</t>
  </si>
  <si>
    <t>12:55:43</t>
  </si>
  <si>
    <t>21:58:17</t>
  </si>
  <si>
    <t>22:26:56</t>
  </si>
  <si>
    <t>22:31:16</t>
  </si>
  <si>
    <t>21:22:26</t>
  </si>
  <si>
    <t>21:25:21</t>
  </si>
  <si>
    <t>21:31:35</t>
  </si>
  <si>
    <t>19:26:44</t>
  </si>
  <si>
    <t>20:02:46</t>
  </si>
  <si>
    <t>20:09:59</t>
  </si>
  <si>
    <t>12:29:05</t>
  </si>
  <si>
    <t>13:02:34</t>
  </si>
  <si>
    <t>13:12:06</t>
  </si>
  <si>
    <t>20:55:32</t>
  </si>
  <si>
    <t>21:26:03</t>
  </si>
  <si>
    <t>21:31:26</t>
  </si>
  <si>
    <t>17:33:23</t>
  </si>
  <si>
    <t>17:39:56</t>
  </si>
  <si>
    <t>17:44:41</t>
  </si>
  <si>
    <t>17:17:35</t>
  </si>
  <si>
    <t>17:41:15</t>
  </si>
  <si>
    <t>17:46:05</t>
  </si>
  <si>
    <t>21:07:01</t>
  </si>
  <si>
    <t>21:20:28</t>
  </si>
  <si>
    <t>12:35:26</t>
  </si>
  <si>
    <t>13:06:47</t>
  </si>
  <si>
    <t>13:13:33</t>
  </si>
  <si>
    <t>13:41:53</t>
  </si>
  <si>
    <t>13:56:18</t>
  </si>
  <si>
    <t>14:02:30</t>
  </si>
  <si>
    <t>18:26:53</t>
  </si>
  <si>
    <t>18:52:19</t>
  </si>
  <si>
    <t>19:00:01</t>
  </si>
  <si>
    <t>14:24:12</t>
  </si>
  <si>
    <t>14:26:41</t>
  </si>
  <si>
    <t>14:31:24</t>
  </si>
  <si>
    <t>20:21:59</t>
  </si>
  <si>
    <t>20:36:11</t>
  </si>
  <si>
    <t>20:42:47</t>
  </si>
  <si>
    <t>18:53:37</t>
  </si>
  <si>
    <t>19:10:07</t>
  </si>
  <si>
    <t>19:16:54</t>
  </si>
  <si>
    <t>21:22:21</t>
  </si>
  <si>
    <t>21:34:49</t>
  </si>
  <si>
    <t>21:41:04</t>
  </si>
  <si>
    <t>17:44:15</t>
  </si>
  <si>
    <t>18:05:10</t>
  </si>
  <si>
    <t>12:20:47</t>
  </si>
  <si>
    <t>12:33:44</t>
  </si>
  <si>
    <t>12:40:06</t>
  </si>
  <si>
    <t>14:31:02</t>
  </si>
  <si>
    <t>15:04:42</t>
  </si>
  <si>
    <t>15:10:08</t>
  </si>
  <si>
    <t>13:33:58</t>
  </si>
  <si>
    <t>14:07:53</t>
  </si>
  <si>
    <t>14:15:03</t>
  </si>
  <si>
    <t>14:04:30</t>
  </si>
  <si>
    <t>14:19:25</t>
  </si>
  <si>
    <t>14:25:11</t>
  </si>
  <si>
    <t>13:54:21</t>
  </si>
  <si>
    <t>14:19:21</t>
  </si>
  <si>
    <t>14:28:22</t>
  </si>
  <si>
    <t>21:55:34</t>
  </si>
  <si>
    <t>22:06:19</t>
  </si>
  <si>
    <t>22:12:17</t>
  </si>
  <si>
    <t>18:14:47</t>
  </si>
  <si>
    <t>18:24:12</t>
  </si>
  <si>
    <t>18:28:34</t>
  </si>
  <si>
    <t>13:28:10</t>
  </si>
  <si>
    <t>13:37:29</t>
  </si>
  <si>
    <t>13:41:03</t>
  </si>
  <si>
    <t>19:50:03</t>
  </si>
  <si>
    <t>20:14:06</t>
  </si>
  <si>
    <t>20:21:06</t>
  </si>
  <si>
    <t>14:15:33</t>
  </si>
  <si>
    <t>15:06:33</t>
  </si>
  <si>
    <t>15:17:44</t>
  </si>
  <si>
    <t>13:39:55</t>
  </si>
  <si>
    <t>13:47:17</t>
  </si>
  <si>
    <t>13:53:25</t>
  </si>
  <si>
    <t>14:14:29</t>
  </si>
  <si>
    <t>14:27:23</t>
  </si>
  <si>
    <t>14:34:00</t>
  </si>
  <si>
    <t>12:57:51</t>
  </si>
  <si>
    <t>13:53:15</t>
  </si>
  <si>
    <t>14:04:21</t>
  </si>
  <si>
    <t>21:22:37</t>
  </si>
  <si>
    <t>21:50:13</t>
  </si>
  <si>
    <t>21:55:17</t>
  </si>
  <si>
    <t>18:12:24</t>
  </si>
  <si>
    <t>18:31:22</t>
  </si>
  <si>
    <t>18:36:54</t>
  </si>
  <si>
    <t>19:36:18</t>
  </si>
  <si>
    <t>19:45:10</t>
  </si>
  <si>
    <t>19:48:12</t>
  </si>
  <si>
    <t>20:17:00</t>
  </si>
  <si>
    <t>20:39:03</t>
  </si>
  <si>
    <t>20:46:55</t>
  </si>
  <si>
    <t>17:38:51</t>
  </si>
  <si>
    <t>17:47:13</t>
  </si>
  <si>
    <t>17:52:35</t>
  </si>
  <si>
    <t>18:43:48</t>
  </si>
  <si>
    <t>18:53:15</t>
  </si>
  <si>
    <t>18:56:50</t>
  </si>
  <si>
    <t>12:19:50</t>
  </si>
  <si>
    <t>12:30:21</t>
  </si>
  <si>
    <t>12:35:45</t>
  </si>
  <si>
    <t>14:05:58</t>
  </si>
  <si>
    <t>14:15:58</t>
  </si>
  <si>
    <t>14:22:09</t>
  </si>
  <si>
    <t>17:08:50</t>
  </si>
  <si>
    <t>17:31:21</t>
  </si>
  <si>
    <t>18:58:52</t>
  </si>
  <si>
    <t>19:28:49</t>
  </si>
  <si>
    <t>19:38:46</t>
  </si>
  <si>
    <t>21:04:09</t>
  </si>
  <si>
    <t>21:52:47</t>
  </si>
  <si>
    <t>22:02:12</t>
  </si>
  <si>
    <t>20:00:16</t>
  </si>
  <si>
    <t>20:08:39</t>
  </si>
  <si>
    <t>20:15:05</t>
  </si>
  <si>
    <t>18:37:24</t>
  </si>
  <si>
    <t>18:47:21</t>
  </si>
  <si>
    <t>18:54:26</t>
  </si>
  <si>
    <t>17:30:01</t>
  </si>
  <si>
    <t>17:38:20</t>
  </si>
  <si>
    <t>17:45:05</t>
  </si>
  <si>
    <t>13:40:52</t>
  </si>
  <si>
    <t>14:01:05</t>
  </si>
  <si>
    <t>14:08:40</t>
  </si>
  <si>
    <t>14:02:02</t>
  </si>
  <si>
    <t>14:41:52</t>
  </si>
  <si>
    <t>14:49:45</t>
  </si>
  <si>
    <t>17:56:34</t>
  </si>
  <si>
    <t>18:08:23</t>
  </si>
  <si>
    <t>18:11:29</t>
  </si>
  <si>
    <t>20:37:47</t>
  </si>
  <si>
    <t>20:54:09</t>
  </si>
  <si>
    <t>21:00:32</t>
  </si>
  <si>
    <t>13:53:31</t>
  </si>
  <si>
    <t>14:04:19</t>
  </si>
  <si>
    <t>14:09:38</t>
  </si>
  <si>
    <t>19:13:28</t>
  </si>
  <si>
    <t>19:21:24</t>
  </si>
  <si>
    <t>19:24:03</t>
  </si>
  <si>
    <t>19:34:57</t>
  </si>
  <si>
    <t>19:48:41</t>
  </si>
  <si>
    <t>19:55:15</t>
  </si>
  <si>
    <t>18:12:07</t>
  </si>
  <si>
    <t>18:50:13</t>
  </si>
  <si>
    <t>18:58:50</t>
  </si>
  <si>
    <t>12:03:50</t>
  </si>
  <si>
    <t>12:14:08</t>
  </si>
  <si>
    <t>12:18:13</t>
  </si>
  <si>
    <t>17:04:53</t>
  </si>
  <si>
    <t>17:08:24</t>
  </si>
  <si>
    <t>17:14:06</t>
  </si>
  <si>
    <t>19:49:09</t>
  </si>
  <si>
    <t>19:54:50</t>
  </si>
  <si>
    <t>19:59:56</t>
  </si>
  <si>
    <t>14:34:16</t>
  </si>
  <si>
    <t>14:46:32</t>
  </si>
  <si>
    <t>14:52:14</t>
  </si>
  <si>
    <t>12:22:50</t>
  </si>
  <si>
    <t>12:28:59</t>
  </si>
  <si>
    <t>12:32:04</t>
  </si>
  <si>
    <t>18:03:08</t>
  </si>
  <si>
    <t>18:12:02</t>
  </si>
  <si>
    <t>18:18:32</t>
  </si>
  <si>
    <t>13:30:28</t>
  </si>
  <si>
    <t>13:44:04</t>
  </si>
  <si>
    <t>13:49:40</t>
  </si>
  <si>
    <t>17:39:02</t>
  </si>
  <si>
    <t>17:47:50</t>
  </si>
  <si>
    <t>17:50:04</t>
  </si>
  <si>
    <t>12:03:30</t>
  </si>
  <si>
    <t>12:25:54</t>
  </si>
  <si>
    <t>12:35:27</t>
  </si>
  <si>
    <t>21:04:57</t>
  </si>
  <si>
    <t>21:23:57</t>
  </si>
  <si>
    <t>21:29:07</t>
  </si>
  <si>
    <t>14:17:39</t>
  </si>
  <si>
    <t>14:38:24</t>
  </si>
  <si>
    <t>14:46:44</t>
  </si>
  <si>
    <t>18:29:32</t>
  </si>
  <si>
    <t>18:57:38</t>
  </si>
  <si>
    <t>19:06:40</t>
  </si>
  <si>
    <t>13:54:41</t>
  </si>
  <si>
    <t>14:00:16</t>
  </si>
  <si>
    <t>14:05:03</t>
  </si>
  <si>
    <t>17:26:21</t>
  </si>
  <si>
    <t>17:27:50</t>
  </si>
  <si>
    <t>17:33:53</t>
  </si>
  <si>
    <t>13:20:27</t>
  </si>
  <si>
    <t>13:36:01</t>
  </si>
  <si>
    <t>13:42:16</t>
  </si>
  <si>
    <t>21:04:05</t>
  </si>
  <si>
    <t>21:36:11</t>
  </si>
  <si>
    <t>21:45:18</t>
  </si>
  <si>
    <t>19:51:08</t>
  </si>
  <si>
    <t>19:55:55</t>
  </si>
  <si>
    <t>20:00:41</t>
  </si>
  <si>
    <t>13:26:22</t>
  </si>
  <si>
    <t>13:39:36</t>
  </si>
  <si>
    <t>18:22:06</t>
  </si>
  <si>
    <t>18:32:40</t>
  </si>
  <si>
    <t>18:35:54</t>
  </si>
  <si>
    <t>21:14:54</t>
  </si>
  <si>
    <t>21:41:14</t>
  </si>
  <si>
    <t>21:47:13</t>
  </si>
  <si>
    <t>18:36:14</t>
  </si>
  <si>
    <t>19:30:41</t>
  </si>
  <si>
    <t>19:38:24</t>
  </si>
  <si>
    <t>14:17:44</t>
  </si>
  <si>
    <t>14:29:35</t>
  </si>
  <si>
    <t>14:33:51</t>
  </si>
  <si>
    <t>14:55:09</t>
  </si>
  <si>
    <t>15:14:35</t>
  </si>
  <si>
    <t>15:21:27</t>
  </si>
  <si>
    <t>12:05:47</t>
  </si>
  <si>
    <t>12:13:37</t>
  </si>
  <si>
    <t>12:18:00</t>
  </si>
  <si>
    <t>21:21:10</t>
  </si>
  <si>
    <t>21:37:32</t>
  </si>
  <si>
    <t>21:45:12</t>
  </si>
  <si>
    <t>13:56:03</t>
  </si>
  <si>
    <t>15:46:12</t>
  </si>
  <si>
    <t>15:54:25</t>
  </si>
  <si>
    <t>13:17:28</t>
  </si>
  <si>
    <t>13:17:58</t>
  </si>
  <si>
    <t>13:24:24</t>
  </si>
  <si>
    <t>21:26:17</t>
  </si>
  <si>
    <t>21:56:11</t>
  </si>
  <si>
    <t>22:03:43</t>
  </si>
  <si>
    <t>13:18:43</t>
  </si>
  <si>
    <t>13:31:11</t>
  </si>
  <si>
    <t>13:36:12</t>
  </si>
  <si>
    <t>17:25:38</t>
  </si>
  <si>
    <t>17:53:10</t>
  </si>
  <si>
    <t>17:57:50</t>
  </si>
  <si>
    <t>17:49:08</t>
  </si>
  <si>
    <t>18:11:20</t>
  </si>
  <si>
    <t>18:15:35</t>
  </si>
  <si>
    <t>12:31:47</t>
  </si>
  <si>
    <t>12:55:23</t>
  </si>
  <si>
    <t>13:01:25</t>
  </si>
  <si>
    <t>17:32:35</t>
  </si>
  <si>
    <t>17:46:30</t>
  </si>
  <si>
    <t>17:52:18</t>
  </si>
  <si>
    <t>12:27:01</t>
  </si>
  <si>
    <t>13:01:58</t>
  </si>
  <si>
    <t>13:11:38</t>
  </si>
  <si>
    <t>20:36:25</t>
  </si>
  <si>
    <t>20:38:10</t>
  </si>
  <si>
    <t>20:42:07</t>
  </si>
  <si>
    <t>20:01:20</t>
  </si>
  <si>
    <t>20:24:32</t>
  </si>
  <si>
    <t>20:29:20</t>
  </si>
  <si>
    <t>20:54:06</t>
  </si>
  <si>
    <t>21:00:03</t>
  </si>
  <si>
    <t>21:05:44</t>
  </si>
  <si>
    <t>13:25:55</t>
  </si>
  <si>
    <t>13:37:22</t>
  </si>
  <si>
    <t>13:42:22</t>
  </si>
  <si>
    <t>14:04:32</t>
  </si>
  <si>
    <t>14:32:03</t>
  </si>
  <si>
    <t>14:39:58</t>
  </si>
  <si>
    <t>19:46:52</t>
  </si>
  <si>
    <t>19:53:34</t>
  </si>
  <si>
    <t>19:58:49</t>
  </si>
  <si>
    <t>14:16:12</t>
  </si>
  <si>
    <t>14:28:05</t>
  </si>
  <si>
    <t>14:29:40</t>
  </si>
  <si>
    <t>21:29:48</t>
  </si>
  <si>
    <t>21:37:43</t>
  </si>
  <si>
    <t>21:42:18</t>
  </si>
  <si>
    <t>19:09:28</t>
  </si>
  <si>
    <t>19:36:00</t>
  </si>
  <si>
    <t>18:50:17</t>
  </si>
  <si>
    <t>19:06:19</t>
  </si>
  <si>
    <t>19:11:45</t>
  </si>
  <si>
    <t>13:19:29</t>
  </si>
  <si>
    <t>13:31:43</t>
  </si>
  <si>
    <t>13:35:06</t>
  </si>
  <si>
    <t>18:04:41</t>
  </si>
  <si>
    <t>18:42:33</t>
  </si>
  <si>
    <t>18:47:45</t>
  </si>
  <si>
    <t>12:28:58</t>
  </si>
  <si>
    <t>12:38:34</t>
  </si>
  <si>
    <t>12:44:31</t>
  </si>
  <si>
    <t>21:32:09</t>
  </si>
  <si>
    <t>22:32:28</t>
  </si>
  <si>
    <t>22:38:25</t>
  </si>
  <si>
    <t>13:32:41</t>
  </si>
  <si>
    <t>13:43:57</t>
  </si>
  <si>
    <t>13:49:29</t>
  </si>
  <si>
    <t>21:28:33</t>
  </si>
  <si>
    <t>21:31:38</t>
  </si>
  <si>
    <t>21:35:58</t>
  </si>
  <si>
    <t>19:00:47</t>
  </si>
  <si>
    <t>19:08:21</t>
  </si>
  <si>
    <t>19:06:35</t>
  </si>
  <si>
    <t>19:08:23</t>
  </si>
  <si>
    <t>19:10:33</t>
  </si>
  <si>
    <t>14:21:05</t>
  </si>
  <si>
    <t>14:41:11</t>
  </si>
  <si>
    <t>14:47:37</t>
  </si>
  <si>
    <t>20:08:38</t>
  </si>
  <si>
    <t>20:28:53</t>
  </si>
  <si>
    <t>20:34:35</t>
  </si>
  <si>
    <t>20:41:50</t>
  </si>
  <si>
    <t>21:01:00</t>
  </si>
  <si>
    <t>21:03:33</t>
  </si>
  <si>
    <t>20:32:23</t>
  </si>
  <si>
    <t>21:03:56</t>
  </si>
  <si>
    <t>21:09:18</t>
  </si>
  <si>
    <t>17:21:49</t>
  </si>
  <si>
    <t>17:56:07</t>
  </si>
  <si>
    <t>18:04:43</t>
  </si>
  <si>
    <t>14:04:18</t>
  </si>
  <si>
    <t>14:19:28</t>
  </si>
  <si>
    <t>14:23:40</t>
  </si>
  <si>
    <t>14:59:09</t>
  </si>
  <si>
    <t>15:05:41</t>
  </si>
  <si>
    <t>14:46:28</t>
  </si>
  <si>
    <t>15:02:05</t>
  </si>
  <si>
    <t>15:08:26</t>
  </si>
  <si>
    <t>17:28:39</t>
  </si>
  <si>
    <t>17:38:23</t>
  </si>
  <si>
    <t>17:44:24</t>
  </si>
  <si>
    <t>17:19:51</t>
  </si>
  <si>
    <t>17:41:17</t>
  </si>
  <si>
    <t>21:29:49</t>
  </si>
  <si>
    <t>21:54:48</t>
  </si>
  <si>
    <t>22:00:50</t>
  </si>
  <si>
    <t>17:51:38</t>
  </si>
  <si>
    <t>18:19:46</t>
  </si>
  <si>
    <t>18:22:21</t>
  </si>
  <si>
    <t>21:55:23</t>
  </si>
  <si>
    <t>22:08:31</t>
  </si>
  <si>
    <t>22:14:45</t>
  </si>
  <si>
    <t>13:48:10</t>
  </si>
  <si>
    <t>13:56:37</t>
  </si>
  <si>
    <t>14:00:35</t>
  </si>
  <si>
    <t>13:58:14</t>
  </si>
  <si>
    <t>14:09:54</t>
  </si>
  <si>
    <t>14:15:22</t>
  </si>
  <si>
    <t>12:25:32</t>
  </si>
  <si>
    <t>13:08:11</t>
  </si>
  <si>
    <t>13:17:08</t>
  </si>
  <si>
    <t>19:14:01</t>
  </si>
  <si>
    <t>19:26:47</t>
  </si>
  <si>
    <t>19:32:20</t>
  </si>
  <si>
    <t>14:02:18</t>
  </si>
  <si>
    <t>14:05:26</t>
  </si>
  <si>
    <t>14:09:58</t>
  </si>
  <si>
    <t>12:57:05</t>
  </si>
  <si>
    <t>13:38:51</t>
  </si>
  <si>
    <t>13:45:14</t>
  </si>
  <si>
    <t>20:07:49</t>
  </si>
  <si>
    <t>20:25:07</t>
  </si>
  <si>
    <t>20:31:51</t>
  </si>
  <si>
    <t>12:15:26</t>
  </si>
  <si>
    <t>12:22:42</t>
  </si>
  <si>
    <t>12:28:13</t>
  </si>
  <si>
    <t>21:38:34</t>
  </si>
  <si>
    <t>21:39:04</t>
  </si>
  <si>
    <t>21:42:25</t>
  </si>
  <si>
    <t>20:00:39</t>
  </si>
  <si>
    <t>20:06:29</t>
  </si>
  <si>
    <t>20:13:04</t>
  </si>
  <si>
    <t>13:33:23</t>
  </si>
  <si>
    <t>14:22:46</t>
  </si>
  <si>
    <t>14:28:39</t>
  </si>
  <si>
    <t>12:40:24</t>
  </si>
  <si>
    <t>13:04:35</t>
  </si>
  <si>
    <t>13:08:50</t>
  </si>
  <si>
    <t>13:22:15</t>
  </si>
  <si>
    <t>13:35:28</t>
  </si>
  <si>
    <t>13:45:19</t>
  </si>
  <si>
    <t>12:22:34</t>
  </si>
  <si>
    <t>12:28:26</t>
  </si>
  <si>
    <t>12:31:27</t>
  </si>
  <si>
    <t>21:40:11</t>
  </si>
  <si>
    <t>22:23:39</t>
  </si>
  <si>
    <t>22:29:23</t>
  </si>
  <si>
    <t>18:20:18</t>
  </si>
  <si>
    <t>18:24:08</t>
  </si>
  <si>
    <t>20:52:34</t>
  </si>
  <si>
    <t>20:54:54</t>
  </si>
  <si>
    <t>21:01:58</t>
  </si>
  <si>
    <t>17:18:22</t>
  </si>
  <si>
    <t>18:38:14</t>
  </si>
  <si>
    <t>18:44:35</t>
  </si>
  <si>
    <t>19:27:56</t>
  </si>
  <si>
    <t>20:02:47</t>
  </si>
  <si>
    <t>20:10:06</t>
  </si>
  <si>
    <t>14:31:44</t>
  </si>
  <si>
    <t>14:50:08</t>
  </si>
  <si>
    <t>14:58:42</t>
  </si>
  <si>
    <t>20:05:27</t>
  </si>
  <si>
    <t>20:30:13</t>
  </si>
  <si>
    <t>20:36:31</t>
  </si>
  <si>
    <t>13:05:20</t>
  </si>
  <si>
    <t>13:23:03</t>
  </si>
  <si>
    <t>13:30:56</t>
  </si>
  <si>
    <t>20:10:44</t>
  </si>
  <si>
    <t>20:41:08</t>
  </si>
  <si>
    <t>20:51:39</t>
  </si>
  <si>
    <t>19:39:27</t>
  </si>
  <si>
    <t>20:24:08</t>
  </si>
  <si>
    <t>20:31:36</t>
  </si>
  <si>
    <t>20:23:32</t>
  </si>
  <si>
    <t>20:28:36</t>
  </si>
  <si>
    <t>20:33:45</t>
  </si>
  <si>
    <t>21:02:08</t>
  </si>
  <si>
    <t>21:25:36</t>
  </si>
  <si>
    <t>21:30:18</t>
  </si>
  <si>
    <t>20:36:02</t>
  </si>
  <si>
    <t>20:46:16</t>
  </si>
  <si>
    <t>20:51:54</t>
  </si>
  <si>
    <t>19:28:48</t>
  </si>
  <si>
    <t>19:56:04</t>
  </si>
  <si>
    <t>20:03:57</t>
  </si>
  <si>
    <t>19:41:17</t>
  </si>
  <si>
    <t>20:17:26</t>
  </si>
  <si>
    <t>20:25:38</t>
  </si>
  <si>
    <t>14:31:33</t>
  </si>
  <si>
    <t>14:39:21</t>
  </si>
  <si>
    <t>14:42:38</t>
  </si>
  <si>
    <t>21:13:39</t>
  </si>
  <si>
    <t>21:19:00</t>
  </si>
  <si>
    <t>14:54:04</t>
  </si>
  <si>
    <t>15:01:49</t>
  </si>
  <si>
    <t>15:05:07</t>
  </si>
  <si>
    <t>19:42:22</t>
  </si>
  <si>
    <t>19:52:39</t>
  </si>
  <si>
    <t>19:57:55</t>
  </si>
  <si>
    <t>14:45:45</t>
  </si>
  <si>
    <t>15:03:00</t>
  </si>
  <si>
    <t>15:09:42</t>
  </si>
  <si>
    <t>17:07:12</t>
  </si>
  <si>
    <t>17:51:15</t>
  </si>
  <si>
    <t>19:35:36</t>
  </si>
  <si>
    <t>19:45:27</t>
  </si>
  <si>
    <t>19:50:52</t>
  </si>
  <si>
    <t>13:04:19</t>
  </si>
  <si>
    <t>13:14:45</t>
  </si>
  <si>
    <t>13:18:29</t>
  </si>
  <si>
    <t>13:19:07</t>
  </si>
  <si>
    <t>13:25:33</t>
  </si>
  <si>
    <t>19:08:56</t>
  </si>
  <si>
    <t>19:23:48</t>
  </si>
  <si>
    <t>19:30:11</t>
  </si>
  <si>
    <t>12:53:07</t>
  </si>
  <si>
    <t>12:56:31</t>
  </si>
  <si>
    <t>13:03:36</t>
  </si>
  <si>
    <t>14:20:59</t>
  </si>
  <si>
    <t>14:35:59</t>
  </si>
  <si>
    <t>14:41:16</t>
  </si>
  <si>
    <t>18:54:05</t>
  </si>
  <si>
    <t>19:12:02</t>
  </si>
  <si>
    <t>19:19:41</t>
  </si>
  <si>
    <t>18:39:34</t>
  </si>
  <si>
    <t>19:21:39</t>
  </si>
  <si>
    <t>19:26:38</t>
  </si>
  <si>
    <t>19:53:59</t>
  </si>
  <si>
    <t>20:02:29</t>
  </si>
  <si>
    <t>20:07:35</t>
  </si>
  <si>
    <t>12:41:49</t>
  </si>
  <si>
    <t>12:43:02</t>
  </si>
  <si>
    <t>12:45:32</t>
  </si>
  <si>
    <t>20:39:40</t>
  </si>
  <si>
    <t>21:09:14</t>
  </si>
  <si>
    <t>21:14:04</t>
  </si>
  <si>
    <t>18:30:15</t>
  </si>
  <si>
    <t>18:36:34</t>
  </si>
  <si>
    <t>18:42:03</t>
  </si>
  <si>
    <t>13:44:03</t>
  </si>
  <si>
    <t>14:34:58</t>
  </si>
  <si>
    <t>14:41:48</t>
  </si>
  <si>
    <t>21:13:21</t>
  </si>
  <si>
    <t>21:18:58</t>
  </si>
  <si>
    <t>21:24:28</t>
  </si>
  <si>
    <t>19:46:55</t>
  </si>
  <si>
    <t>19:57:43</t>
  </si>
  <si>
    <t>20:02:34</t>
  </si>
  <si>
    <t>13:20:15</t>
  </si>
  <si>
    <t>13:33:27</t>
  </si>
  <si>
    <t>13:37:49</t>
  </si>
  <si>
    <t>17:09:06</t>
  </si>
  <si>
    <t>17:22:31</t>
  </si>
  <si>
    <t>17:27:52</t>
  </si>
  <si>
    <t>20:15:55</t>
  </si>
  <si>
    <t>21:45:03</t>
  </si>
  <si>
    <t>21:53:42</t>
  </si>
  <si>
    <t>14:31:32</t>
  </si>
  <si>
    <t>15:15:54</t>
  </si>
  <si>
    <t>15:23:38</t>
  </si>
  <si>
    <t>12:05:25</t>
  </si>
  <si>
    <t>12:10:24</t>
  </si>
  <si>
    <t>12:18:44</t>
  </si>
  <si>
    <t>19:03:03</t>
  </si>
  <si>
    <t>19:12:05</t>
  </si>
  <si>
    <t>19:16:06</t>
  </si>
  <si>
    <t>12:54:06</t>
  </si>
  <si>
    <t>13:07:33</t>
  </si>
  <si>
    <t>13:13:31</t>
  </si>
  <si>
    <t>19:48:25</t>
  </si>
  <si>
    <t>20:07:45</t>
  </si>
  <si>
    <t>20:14:25</t>
  </si>
  <si>
    <t>17:23:35</t>
  </si>
  <si>
    <t>17:30:31</t>
  </si>
  <si>
    <t>17:34:44</t>
  </si>
  <si>
    <t>21:48:35</t>
  </si>
  <si>
    <t>21:59:13</t>
  </si>
  <si>
    <t>22:04:31</t>
  </si>
  <si>
    <t>20:23:50</t>
  </si>
  <si>
    <t>20:27:12</t>
  </si>
  <si>
    <t>20:31:18</t>
  </si>
  <si>
    <t>20:32:02</t>
  </si>
  <si>
    <t>21:07:41</t>
  </si>
  <si>
    <t>21:13:56</t>
  </si>
  <si>
    <t>19:51:30</t>
  </si>
  <si>
    <t>19:52:10</t>
  </si>
  <si>
    <t>19:54:35</t>
  </si>
  <si>
    <t>14:31:26</t>
  </si>
  <si>
    <t>14:36:45</t>
  </si>
  <si>
    <t>18:37:21</t>
  </si>
  <si>
    <t>18:50:49</t>
  </si>
  <si>
    <t>18:59:57</t>
  </si>
  <si>
    <t>12:23:21</t>
  </si>
  <si>
    <t>12:46:02</t>
  </si>
  <si>
    <t>12:53:47</t>
  </si>
  <si>
    <t>18:50:57</t>
  </si>
  <si>
    <t>19:02:06</t>
  </si>
  <si>
    <t>17:46:03</t>
  </si>
  <si>
    <t>17:53:24</t>
  </si>
  <si>
    <t>17:58:30</t>
  </si>
  <si>
    <t>20:09:52</t>
  </si>
  <si>
    <t>20:19:44</t>
  </si>
  <si>
    <t>20:22:40</t>
  </si>
  <si>
    <t>13:12:01</t>
  </si>
  <si>
    <t>13:15:38</t>
  </si>
  <si>
    <t>13:18:15</t>
  </si>
  <si>
    <t>20:44:13</t>
  </si>
  <si>
    <t>21:05:32</t>
  </si>
  <si>
    <t>21:14:10</t>
  </si>
  <si>
    <t>14:33:13</t>
  </si>
  <si>
    <t>14:43:35</t>
  </si>
  <si>
    <t>14:47:56</t>
  </si>
  <si>
    <t>20:20:11</t>
  </si>
  <si>
    <t>21:19:27</t>
  </si>
  <si>
    <t>21:26:56</t>
  </si>
  <si>
    <t>18:39:30</t>
  </si>
  <si>
    <t>20:55:18</t>
  </si>
  <si>
    <t>21:03:39</t>
  </si>
  <si>
    <t>18:14:19</t>
  </si>
  <si>
    <t>18:46:02</t>
  </si>
  <si>
    <t>18:51:43</t>
  </si>
  <si>
    <t>21:22:35</t>
  </si>
  <si>
    <t>21:29:39</t>
  </si>
  <si>
    <t>21:36:19</t>
  </si>
  <si>
    <t>20:57:25</t>
  </si>
  <si>
    <t>21:34:55</t>
  </si>
  <si>
    <t>21:42:26</t>
  </si>
  <si>
    <t>18:45:05</t>
  </si>
  <si>
    <t>19:05:39</t>
  </si>
  <si>
    <t>19:12:59</t>
  </si>
  <si>
    <t>21:13:12</t>
  </si>
  <si>
    <t>21:17:54</t>
  </si>
  <si>
    <t>21:23:49</t>
  </si>
  <si>
    <t>13:39:47</t>
  </si>
  <si>
    <t>13:57:11</t>
  </si>
  <si>
    <t>17:40:14</t>
  </si>
  <si>
    <t>17:53:58</t>
  </si>
  <si>
    <t>17:58:58</t>
  </si>
  <si>
    <t>21:06:43</t>
  </si>
  <si>
    <t>21:32:34</t>
  </si>
  <si>
    <t>21:37:04</t>
  </si>
  <si>
    <t>21:30:41</t>
  </si>
  <si>
    <t>21:51:09</t>
  </si>
  <si>
    <t>21:55:05</t>
  </si>
  <si>
    <t>12:58:49</t>
  </si>
  <si>
    <t>14:58:50</t>
  </si>
  <si>
    <t>15:07:19</t>
  </si>
  <si>
    <t>20:56:53</t>
  </si>
  <si>
    <t>21:11:48</t>
  </si>
  <si>
    <t>21:15:00</t>
  </si>
  <si>
    <t>14:59:47</t>
  </si>
  <si>
    <t>15:07:50</t>
  </si>
  <si>
    <t>15:13:29</t>
  </si>
  <si>
    <t>13:59:21</t>
  </si>
  <si>
    <t>14:09:40</t>
  </si>
  <si>
    <t>14:13:04</t>
  </si>
  <si>
    <t>21:17:12</t>
  </si>
  <si>
    <t>21:51:37</t>
  </si>
  <si>
    <t>21:56:46</t>
  </si>
  <si>
    <t>21:41:16</t>
  </si>
  <si>
    <t>21:51:25</t>
  </si>
  <si>
    <t>21:59:25</t>
  </si>
  <si>
    <t>19:50:18</t>
  </si>
  <si>
    <t>20:02:20</t>
  </si>
  <si>
    <t>20:07:20</t>
  </si>
  <si>
    <t>20:52:27</t>
  </si>
  <si>
    <t>21:03:42</t>
  </si>
  <si>
    <t>21:10:15</t>
  </si>
  <si>
    <t>13:11:08</t>
  </si>
  <si>
    <t>13:39:32</t>
  </si>
  <si>
    <t>18:24:15</t>
  </si>
  <si>
    <t>18:39:40</t>
  </si>
  <si>
    <t>18:47:10</t>
  </si>
  <si>
    <t>12:16:41</t>
  </si>
  <si>
    <t>13:09:30</t>
  </si>
  <si>
    <t>13:29:19</t>
  </si>
  <si>
    <t>13:52:37</t>
  </si>
  <si>
    <t>13:58:04</t>
  </si>
  <si>
    <t>13:40:58</t>
  </si>
  <si>
    <t>14:06:02</t>
  </si>
  <si>
    <t>14:10:47</t>
  </si>
  <si>
    <t>14:30:09</t>
  </si>
  <si>
    <t>14:46:26</t>
  </si>
  <si>
    <t>14:51:01</t>
  </si>
  <si>
    <t>21:48:34</t>
  </si>
  <si>
    <t>22:13:17</t>
  </si>
  <si>
    <t>22:21:13</t>
  </si>
  <si>
    <t>13:33:28</t>
  </si>
  <si>
    <t>13:42:14</t>
  </si>
  <si>
    <t>13:45:45</t>
  </si>
  <si>
    <t>13:03:53</t>
  </si>
  <si>
    <t>13:37:52</t>
  </si>
  <si>
    <t>13:43:12</t>
  </si>
  <si>
    <t>19:54:33</t>
  </si>
  <si>
    <t>20:13:15</t>
  </si>
  <si>
    <t>20:16:49</t>
  </si>
  <si>
    <t>21:05:57</t>
  </si>
  <si>
    <t>21:11:26</t>
  </si>
  <si>
    <t>21:16:22</t>
  </si>
  <si>
    <t>14:32:26</t>
  </si>
  <si>
    <t>14:39:10</t>
  </si>
  <si>
    <t>14:43:06</t>
  </si>
  <si>
    <t>18:46:01</t>
  </si>
  <si>
    <t>18:51:11</t>
  </si>
  <si>
    <t>18:55:28</t>
  </si>
  <si>
    <t>17:37:04</t>
  </si>
  <si>
    <t>18:53:20</t>
  </si>
  <si>
    <t>19:00:34</t>
  </si>
  <si>
    <t>13:34:03</t>
  </si>
  <si>
    <t>13:54:47</t>
  </si>
  <si>
    <t>13:59:54</t>
  </si>
  <si>
    <t>20:11:49</t>
  </si>
  <si>
    <t>20:37:22</t>
  </si>
  <si>
    <t>20:42:31</t>
  </si>
  <si>
    <t>21:55:58</t>
  </si>
  <si>
    <t>22:16:33</t>
  </si>
  <si>
    <t>22:22:55</t>
  </si>
  <si>
    <t>14:41:55</t>
  </si>
  <si>
    <t>14:54:31</t>
  </si>
  <si>
    <t>14:59:03</t>
  </si>
  <si>
    <t>20:33:08</t>
  </si>
  <si>
    <t>20:43:03</t>
  </si>
  <si>
    <t>18:29:43</t>
  </si>
  <si>
    <t>18:37:31</t>
  </si>
  <si>
    <t>18:41:31</t>
  </si>
  <si>
    <t>17:29:22</t>
  </si>
  <si>
    <t>17:52:25</t>
  </si>
  <si>
    <t>17:57:02</t>
  </si>
  <si>
    <t>13:02:51</t>
  </si>
  <si>
    <t>13:16:17</t>
  </si>
  <si>
    <t>13:22:37</t>
  </si>
  <si>
    <t>17:04:06</t>
  </si>
  <si>
    <t>17:06:19</t>
  </si>
  <si>
    <t>17:11:00</t>
  </si>
  <si>
    <t>12:15:47</t>
  </si>
  <si>
    <t>12:47:56</t>
  </si>
  <si>
    <t>18:18:01</t>
  </si>
  <si>
    <t>18:23:07</t>
  </si>
  <si>
    <t>19:36:38</t>
  </si>
  <si>
    <t>19:50:05</t>
  </si>
  <si>
    <t>19:54:28</t>
  </si>
  <si>
    <t>14:42:33</t>
  </si>
  <si>
    <t>15:31:53</t>
  </si>
  <si>
    <t>15:41:51</t>
  </si>
  <si>
    <t>12:35:37</t>
  </si>
  <si>
    <t>12:55:14</t>
  </si>
  <si>
    <t>13:00:31</t>
  </si>
  <si>
    <t>21:03:22</t>
  </si>
  <si>
    <t>21:18:30</t>
  </si>
  <si>
    <t>21:26:08</t>
  </si>
  <si>
    <t>20:26:09</t>
  </si>
  <si>
    <t>20:32:11</t>
  </si>
  <si>
    <t>20:36:09</t>
  </si>
  <si>
    <t>21:15:54</t>
  </si>
  <si>
    <t>21:26:06</t>
  </si>
  <si>
    <t>21:30:25</t>
  </si>
  <si>
    <t>13:10:22</t>
  </si>
  <si>
    <t>13:19:26</t>
  </si>
  <si>
    <t>18:13:21</t>
  </si>
  <si>
    <t>18:22:22</t>
  </si>
  <si>
    <t>13:34:46</t>
  </si>
  <si>
    <t>13:57:32</t>
  </si>
  <si>
    <t>12:55:04</t>
  </si>
  <si>
    <t>13:33:30</t>
  </si>
  <si>
    <t>13:38:59</t>
  </si>
  <si>
    <t>19:19:58</t>
  </si>
  <si>
    <t>20:00:57</t>
  </si>
  <si>
    <t>13:47:48</t>
  </si>
  <si>
    <t>14:07:42</t>
  </si>
  <si>
    <t>14:14:03</t>
  </si>
  <si>
    <t>17:35:20</t>
  </si>
  <si>
    <t>17:56:24</t>
  </si>
  <si>
    <t>18:01:14</t>
  </si>
  <si>
    <t>19:19:16</t>
  </si>
  <si>
    <t>19:44:31</t>
  </si>
  <si>
    <t>21:48:53</t>
  </si>
  <si>
    <t>22:06:15</t>
  </si>
  <si>
    <t>22:10:51</t>
  </si>
  <si>
    <t>20:02:36</t>
  </si>
  <si>
    <t>20:29:28</t>
  </si>
  <si>
    <t>20:36:20</t>
  </si>
  <si>
    <t>20:18:09</t>
  </si>
  <si>
    <t>21:11:13</t>
  </si>
  <si>
    <t>21:17:09</t>
  </si>
  <si>
    <t>17:31:35</t>
  </si>
  <si>
    <t>17:55:56</t>
  </si>
  <si>
    <t>18:04:12</t>
  </si>
  <si>
    <t>21:29:10</t>
  </si>
  <si>
    <t>21:50:14</t>
  </si>
  <si>
    <t>22:00:08</t>
  </si>
  <si>
    <t>21:11:58</t>
  </si>
  <si>
    <t>21:26:16</t>
  </si>
  <si>
    <t>21:32:07</t>
  </si>
  <si>
    <t>12:48:00</t>
  </si>
  <si>
    <t>12:50:55</t>
  </si>
  <si>
    <t>12:53:51</t>
  </si>
  <si>
    <t>14:00:13</t>
  </si>
  <si>
    <t>14:04:08</t>
  </si>
  <si>
    <t>14:08:58</t>
  </si>
  <si>
    <t>21:42:31</t>
  </si>
  <si>
    <t>21:54:02</t>
  </si>
  <si>
    <t>21:58:41</t>
  </si>
  <si>
    <t>12:33:46</t>
  </si>
  <si>
    <t>12:42:07</t>
  </si>
  <si>
    <t>12:47:06</t>
  </si>
  <si>
    <t>20:51:58</t>
  </si>
  <si>
    <t>21:27:34</t>
  </si>
  <si>
    <t>21:32:43</t>
  </si>
  <si>
    <t>14:15:12</t>
  </si>
  <si>
    <t>14:28:32</t>
  </si>
  <si>
    <t>14:31:09</t>
  </si>
  <si>
    <t>20:05:23</t>
  </si>
  <si>
    <t>21:13:09</t>
  </si>
  <si>
    <t>21:23:14</t>
  </si>
  <si>
    <t>17:19:43</t>
  </si>
  <si>
    <t>17:47:42</t>
  </si>
  <si>
    <t>17:51:02</t>
  </si>
  <si>
    <t>20:24:35</t>
  </si>
  <si>
    <t>20:34:37</t>
  </si>
  <si>
    <t>20:39:34</t>
  </si>
  <si>
    <t>14:05:31</t>
  </si>
  <si>
    <t>14:15:48</t>
  </si>
  <si>
    <t>12:14:13</t>
  </si>
  <si>
    <t>12:35:55</t>
  </si>
  <si>
    <t>12:43:35</t>
  </si>
  <si>
    <t>13:43:59</t>
  </si>
  <si>
    <t>13:53:02</t>
  </si>
  <si>
    <t>13:58:23</t>
  </si>
  <si>
    <t>12:18:36</t>
  </si>
  <si>
    <t>12:23:32</t>
  </si>
  <si>
    <t>14:36:15</t>
  </si>
  <si>
    <t>14:46:09</t>
  </si>
  <si>
    <t>14:51:19</t>
  </si>
  <si>
    <t>14:50:44</t>
  </si>
  <si>
    <t>14:56:52</t>
  </si>
  <si>
    <t>15:04:00</t>
  </si>
  <si>
    <t>13:27:14</t>
  </si>
  <si>
    <t>13:43:14</t>
  </si>
  <si>
    <t>13:48:50</t>
  </si>
  <si>
    <t>12:40:17</t>
  </si>
  <si>
    <t>13:51:28</t>
  </si>
  <si>
    <t>13:59:29</t>
  </si>
  <si>
    <t>20:27:11</t>
  </si>
  <si>
    <t>20:32:43</t>
  </si>
  <si>
    <t>20:39:38</t>
  </si>
  <si>
    <t>18:51:15</t>
  </si>
  <si>
    <t>18:51:59</t>
  </si>
  <si>
    <t>18:56:17</t>
  </si>
  <si>
    <t>14:24:45</t>
  </si>
  <si>
    <t>14:25:30</t>
  </si>
  <si>
    <t>14:30:48</t>
  </si>
  <si>
    <t>19:06:05</t>
  </si>
  <si>
    <t>19:56:15</t>
  </si>
  <si>
    <t>20:05:07</t>
  </si>
  <si>
    <t>18:06:08</t>
  </si>
  <si>
    <t>20:48:31</t>
  </si>
  <si>
    <t>20:59:57</t>
  </si>
  <si>
    <t>20:06:01</t>
  </si>
  <si>
    <t>20:57:31</t>
  </si>
  <si>
    <t>19:55:24</t>
  </si>
  <si>
    <t>20:56:41</t>
  </si>
  <si>
    <t>21:05:12</t>
  </si>
  <si>
    <t>14:13:49</t>
  </si>
  <si>
    <t>14:23:10</t>
  </si>
  <si>
    <t>20:10:08</t>
  </si>
  <si>
    <t>20:21:25</t>
  </si>
  <si>
    <t>20:26:53</t>
  </si>
  <si>
    <t>14:04:10</t>
  </si>
  <si>
    <t>15:38:01</t>
  </si>
  <si>
    <t>15:48:10</t>
  </si>
  <si>
    <t>21:50:04</t>
  </si>
  <si>
    <t>22:42:00</t>
  </si>
  <si>
    <t>22:52:58</t>
  </si>
  <si>
    <t>21:38:39</t>
  </si>
  <si>
    <t>22:16:58</t>
  </si>
  <si>
    <t>22:23:20</t>
  </si>
  <si>
    <t>18:00:25</t>
  </si>
  <si>
    <t>18:13:40</t>
  </si>
  <si>
    <t>18:17:10</t>
  </si>
  <si>
    <t>19:27:52</t>
  </si>
  <si>
    <t>19:37:28</t>
  </si>
  <si>
    <t>19:43:38</t>
  </si>
  <si>
    <t>17:30:20</t>
  </si>
  <si>
    <t>18:13:44</t>
  </si>
  <si>
    <t>18:22:00</t>
  </si>
  <si>
    <t>21:36:50</t>
  </si>
  <si>
    <t>22:21:12</t>
  </si>
  <si>
    <t>22:27:57</t>
  </si>
  <si>
    <t>20:23:07</t>
  </si>
  <si>
    <t>20:38:28</t>
  </si>
  <si>
    <t>12:46:29</t>
  </si>
  <si>
    <t>12:55:44</t>
  </si>
  <si>
    <t>13:03:00</t>
  </si>
  <si>
    <t>13:52:54</t>
  </si>
  <si>
    <t>14:17:22</t>
  </si>
  <si>
    <t>14:24:50</t>
  </si>
  <si>
    <t>18:15:16</t>
  </si>
  <si>
    <t>18:17:43</t>
  </si>
  <si>
    <t>13:28:38</t>
  </si>
  <si>
    <t>13:58:26</t>
  </si>
  <si>
    <t>14:04:56</t>
  </si>
  <si>
    <t>12:50:23</t>
  </si>
  <si>
    <t>12:57:45</t>
  </si>
  <si>
    <t>13:03:12</t>
  </si>
  <si>
    <t>19:10:41</t>
  </si>
  <si>
    <t>19:12:32</t>
  </si>
  <si>
    <t>19:15:39</t>
  </si>
  <si>
    <t>20:06:00</t>
  </si>
  <si>
    <t>20:29:34</t>
  </si>
  <si>
    <t>17:28:23</t>
  </si>
  <si>
    <t>17:55:27</t>
  </si>
  <si>
    <t>18:03:05</t>
  </si>
  <si>
    <t>12:30:06</t>
  </si>
  <si>
    <t>12:41:06</t>
  </si>
  <si>
    <t>12:46:43</t>
  </si>
  <si>
    <t>14:22:19</t>
  </si>
  <si>
    <t>14:26:43</t>
  </si>
  <si>
    <t>14:28:55</t>
  </si>
  <si>
    <t>21:22:30</t>
  </si>
  <si>
    <t>21:41:22</t>
  </si>
  <si>
    <t>21:45:39</t>
  </si>
  <si>
    <t>13:19:02</t>
  </si>
  <si>
    <t>13:27:22</t>
  </si>
  <si>
    <t>13:32:02</t>
  </si>
  <si>
    <t>13:43:51</t>
  </si>
  <si>
    <t>14:28:15</t>
  </si>
  <si>
    <t>14:34:37</t>
  </si>
  <si>
    <t>14:21:35</t>
  </si>
  <si>
    <t>14:39:24</t>
  </si>
  <si>
    <t>14:44:53</t>
  </si>
  <si>
    <t>14:11:40</t>
  </si>
  <si>
    <t>14:24:19</t>
  </si>
  <si>
    <t>14:28:50</t>
  </si>
  <si>
    <t>17:28:37</t>
  </si>
  <si>
    <t>17:50:17</t>
  </si>
  <si>
    <t>17:56:09</t>
  </si>
  <si>
    <t>17:13:17</t>
  </si>
  <si>
    <t>17:18:20</t>
  </si>
  <si>
    <t>17:21:54</t>
  </si>
  <si>
    <t>14:23:20</t>
  </si>
  <si>
    <t>14:37:39</t>
  </si>
  <si>
    <t>14:41:12</t>
  </si>
  <si>
    <t>21:33:40</t>
  </si>
  <si>
    <t>21:39:46</t>
  </si>
  <si>
    <t>13:22:22</t>
  </si>
  <si>
    <t>13:34:08</t>
  </si>
  <si>
    <t>13:39:18</t>
  </si>
  <si>
    <t>13:43:08</t>
  </si>
  <si>
    <t>13:49:35</t>
  </si>
  <si>
    <t>13:57:06</t>
  </si>
  <si>
    <t>13:11:23</t>
  </si>
  <si>
    <t>13:13:24</t>
  </si>
  <si>
    <t>13:18:57</t>
  </si>
  <si>
    <t>14:36:24</t>
  </si>
  <si>
    <t>15:00:36</t>
  </si>
  <si>
    <t>15:08:24</t>
  </si>
  <si>
    <t>14:35:10</t>
  </si>
  <si>
    <t>14:51:38</t>
  </si>
  <si>
    <t>14:57:18</t>
  </si>
  <si>
    <t>19:53:28</t>
  </si>
  <si>
    <t>20:05:19</t>
  </si>
  <si>
    <t>20:11:02</t>
  </si>
  <si>
    <t>21:08:12</t>
  </si>
  <si>
    <t>21:10:50</t>
  </si>
  <si>
    <t>21:13:24</t>
  </si>
  <si>
    <t>21:26:45</t>
  </si>
  <si>
    <t>21:42:06</t>
  </si>
  <si>
    <t>21:46:16</t>
  </si>
  <si>
    <t>12:50:48</t>
  </si>
  <si>
    <t>12:58:39</t>
  </si>
  <si>
    <t>13:02:14</t>
  </si>
  <si>
    <t>17:34:18</t>
  </si>
  <si>
    <t>18:51:48</t>
  </si>
  <si>
    <t>19:00:46</t>
  </si>
  <si>
    <t>13:36:07</t>
  </si>
  <si>
    <t>13:56:46</t>
  </si>
  <si>
    <t>14:04:07</t>
  </si>
  <si>
    <t>21:34:13</t>
  </si>
  <si>
    <t>22:08:08</t>
  </si>
  <si>
    <t>22:16:02</t>
  </si>
  <si>
    <t>12:28:16</t>
  </si>
  <si>
    <t>12:33:40</t>
  </si>
  <si>
    <t>12:37:32</t>
  </si>
  <si>
    <t>17:13:51</t>
  </si>
  <si>
    <t>17:18:46</t>
  </si>
  <si>
    <t>17:23:51</t>
  </si>
  <si>
    <t>14:50:13</t>
  </si>
  <si>
    <t>16:10:16</t>
  </si>
  <si>
    <t>16:18:46</t>
  </si>
  <si>
    <t>18:38:34</t>
  </si>
  <si>
    <t>18:49:50</t>
  </si>
  <si>
    <t>18:54:59</t>
  </si>
  <si>
    <t>18:54:32</t>
  </si>
  <si>
    <t>19:21:15</t>
  </si>
  <si>
    <t>19:31:56</t>
  </si>
  <si>
    <t>12:17:55</t>
  </si>
  <si>
    <t>12:19:09</t>
  </si>
  <si>
    <t>12:23:23</t>
  </si>
  <si>
    <t>14:45:20</t>
  </si>
  <si>
    <t>14:52:24</t>
  </si>
  <si>
    <t>14:57:06</t>
  </si>
  <si>
    <t>18:40:26</t>
  </si>
  <si>
    <t>18:52:27</t>
  </si>
  <si>
    <t>19:00:07</t>
  </si>
  <si>
    <t>13:25:32</t>
  </si>
  <si>
    <t>13:26:02</t>
  </si>
  <si>
    <t>13:31:41</t>
  </si>
  <si>
    <t>21:20:37</t>
  </si>
  <si>
    <t>23:53:22</t>
  </si>
  <si>
    <t>00:02:47</t>
  </si>
  <si>
    <t>19:54:04</t>
  </si>
  <si>
    <t>20:07:14</t>
  </si>
  <si>
    <t>20:11:21</t>
  </si>
  <si>
    <t>17:31:17</t>
  </si>
  <si>
    <t>17:37:43</t>
  </si>
  <si>
    <t>17:44:05</t>
  </si>
  <si>
    <t>14:36:54</t>
  </si>
  <si>
    <t>15:15:04</t>
  </si>
  <si>
    <t>15:23:23</t>
  </si>
  <si>
    <t>13:40:50</t>
  </si>
  <si>
    <t>13:45:57</t>
  </si>
  <si>
    <t>13:53:49</t>
  </si>
  <si>
    <t>21:29:00</t>
  </si>
  <si>
    <t>21:32:30</t>
  </si>
  <si>
    <t>21:36:08</t>
  </si>
  <si>
    <t>18:10:55</t>
  </si>
  <si>
    <t>18:21:31</t>
  </si>
  <si>
    <t>18:28:11</t>
  </si>
  <si>
    <t>13:23:42</t>
  </si>
  <si>
    <t>13:31:17</t>
  </si>
  <si>
    <t>13:34:15</t>
  </si>
  <si>
    <t>18:46:44</t>
  </si>
  <si>
    <t>19:39:53</t>
  </si>
  <si>
    <t>13:00:13</t>
  </si>
  <si>
    <t>13:14:32</t>
  </si>
  <si>
    <t>13:19:35</t>
  </si>
  <si>
    <t>17:33:43</t>
  </si>
  <si>
    <t>17:41:52</t>
  </si>
  <si>
    <t>19:52:07</t>
  </si>
  <si>
    <t>20:03:59</t>
  </si>
  <si>
    <t>20:07:22</t>
  </si>
  <si>
    <t>17:24:05</t>
  </si>
  <si>
    <t>17:27:58</t>
  </si>
  <si>
    <t>17:32:28</t>
  </si>
  <si>
    <t>19:56:19</t>
  </si>
  <si>
    <t>20:17:28</t>
  </si>
  <si>
    <t>20:22:00</t>
  </si>
  <si>
    <t>14:04:33</t>
  </si>
  <si>
    <t>14:14:30</t>
  </si>
  <si>
    <t>14:21:15</t>
  </si>
  <si>
    <t>19:46:13</t>
  </si>
  <si>
    <t>19:53:14</t>
  </si>
  <si>
    <t>19:57:37</t>
  </si>
  <si>
    <t>21:55:13</t>
  </si>
  <si>
    <t>22:51:26</t>
  </si>
  <si>
    <t>22:56:40</t>
  </si>
  <si>
    <t>20:22:27</t>
  </si>
  <si>
    <t>20:26:04</t>
  </si>
  <si>
    <t>20:27:26</t>
  </si>
  <si>
    <t>13:15:35</t>
  </si>
  <si>
    <t>13:26:57</t>
  </si>
  <si>
    <t>13:33:46</t>
  </si>
  <si>
    <t>18:13:33</t>
  </si>
  <si>
    <t>18:39:38</t>
  </si>
  <si>
    <t>18:46:34</t>
  </si>
  <si>
    <t>12:50:57</t>
  </si>
  <si>
    <t>13:24:47</t>
  </si>
  <si>
    <t>13:32:29</t>
  </si>
  <si>
    <t>17:31:40</t>
  </si>
  <si>
    <t>17:46:08</t>
  </si>
  <si>
    <t>19:08:24</t>
  </si>
  <si>
    <t>19:14:21</t>
  </si>
  <si>
    <t>19:18:49</t>
  </si>
  <si>
    <t>14:48:30</t>
  </si>
  <si>
    <t>15:30:33</t>
  </si>
  <si>
    <t>15:35:40</t>
  </si>
  <si>
    <t>18:13:02</t>
  </si>
  <si>
    <t>18:27:52</t>
  </si>
  <si>
    <t>18:30:33</t>
  </si>
  <si>
    <t>20:27:44</t>
  </si>
  <si>
    <t>20:43:36</t>
  </si>
  <si>
    <t>20:49:02</t>
  </si>
  <si>
    <t>13:19:05</t>
  </si>
  <si>
    <t>13:22:45</t>
  </si>
  <si>
    <t>13:28:08</t>
  </si>
  <si>
    <t>19:25:37</t>
  </si>
  <si>
    <t>19:33:46</t>
  </si>
  <si>
    <t>19:39:09</t>
  </si>
  <si>
    <t>20:46:54</t>
  </si>
  <si>
    <t>21:02:01</t>
  </si>
  <si>
    <t>21:07:16</t>
  </si>
  <si>
    <t>20:07:29</t>
  </si>
  <si>
    <t>20:16:26</t>
  </si>
  <si>
    <t>20:19:50</t>
  </si>
  <si>
    <t>14:07:00</t>
  </si>
  <si>
    <t>14:15:16</t>
  </si>
  <si>
    <t>14:19:29</t>
  </si>
  <si>
    <t>21:22:33</t>
  </si>
  <si>
    <t>21:26:43</t>
  </si>
  <si>
    <t>21:31:01</t>
  </si>
  <si>
    <t>14:47:49</t>
  </si>
  <si>
    <t>15:05:22</t>
  </si>
  <si>
    <t>20:17:33</t>
  </si>
  <si>
    <t>20:31:23</t>
  </si>
  <si>
    <t>20:35:12</t>
  </si>
  <si>
    <t>21:32:23</t>
  </si>
  <si>
    <t>22:30:27</t>
  </si>
  <si>
    <t>14:16:49</t>
  </si>
  <si>
    <t>14:42:40</t>
  </si>
  <si>
    <t>14:47:47</t>
  </si>
  <si>
    <t>12:02:54</t>
  </si>
  <si>
    <t>12:11:25</t>
  </si>
  <si>
    <t>12:15:35</t>
  </si>
  <si>
    <t>19:24:58</t>
  </si>
  <si>
    <t>19:40:50</t>
  </si>
  <si>
    <t>19:48:28</t>
  </si>
  <si>
    <t>20:14:20</t>
  </si>
  <si>
    <t>20:23:09</t>
  </si>
  <si>
    <t>20:27:49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</si>
  <si>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</si>
  <si>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</si>
  <si>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</si>
  <si>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</si>
  <si>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</si>
  <si>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</si>
  <si>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</si>
  <si>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</si>
  <si>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</si>
  <si>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</si>
  <si>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</si>
  <si>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</si>
  <si>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</si>
  <si>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What it means</t>
  </si>
  <si>
    <t>The average customer waits about 21.5 minutes.</t>
  </si>
  <si>
    <r>
      <t xml:space="preserve">The </t>
    </r>
    <r>
      <rPr>
        <i/>
        <sz val="8"/>
        <color rgb="FF0F1115"/>
        <rFont val="Segoe UI"/>
        <family val="2"/>
      </rPr>
      <t>middle</t>
    </r>
    <r>
      <rPr>
        <sz val="8"/>
        <color rgb="FF0F1115"/>
        <rFont val="Segoe UI"/>
        <family val="2"/>
      </rPr>
      <t xml:space="preserve"> customer waits only 15 minutes.</t>
    </r>
  </si>
  <si>
    <t>The most common wait is just 30 seconds.</t>
  </si>
  <si>
    <t>Very high variability. Some wait 30 secs, others wait hours.</t>
  </si>
  <si>
    <t>Highly right-skewed (Mean &gt; Median). A few extreme waits are pulling the average up.</t>
  </si>
  <si>
    <t>Very high. This means there are heavy tails and significant outliers.</t>
  </si>
  <si>
    <t>Someone waited almost 3 hours! (This is a huge outlier).</t>
  </si>
  <si>
    <t>Row Labels</t>
  </si>
  <si>
    <t>Grand Total</t>
  </si>
  <si>
    <t>Average of Wait_Time_mins</t>
  </si>
  <si>
    <t>Outlet</t>
  </si>
  <si>
    <t>Total Customers</t>
  </si>
  <si>
    <t>Total time (mins)</t>
  </si>
  <si>
    <t>λ (Arrival Rate)</t>
  </si>
  <si>
    <t>Avg Service Time</t>
  </si>
  <si>
    <t>μ (Service Rate)</t>
  </si>
  <si>
    <t>c (Servers)</t>
  </si>
  <si>
    <t>ρ (Utilization)</t>
  </si>
  <si>
    <t>Dominos Queue Optimization</t>
  </si>
  <si>
    <t>P0 (Empty system)</t>
  </si>
  <si>
    <t>Pw (Prob. of waiting)</t>
  </si>
  <si>
    <t>Wq (Wait time in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</si>
</sst>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i/>
      <sz val="8"/>
      <color rgb="FF0F1115"/>
      <name val="Segoe UI"/>
      <family val="2"/>
    </font>
    <font>
      <sz val="7"/>
      <color rgb="FF0F1115"/>
      <name val="Consolas"/>
      <family val="3"/>
    </font>
    <font>
      <sz val="8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Wait Time</a:t>
            </a:r>
          </a:p>
          <a:p>
            <a:pPr algn="ctr" rtl="0">
              <a:defRPr/>
            </a:pPr>
            <a:r>
              <a:rPr lang="en-US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 Distribution by outle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t</a:t>
            </a:r>
          </a:p>
        </cx:rich>
      </cx:tx>
    </cx:title>
    <cx:plotArea>
      <cx:plotAreaRegion>
        <cx:series layoutId="boxWhisker" uniqueId="{6C0F013F-3BB9-4AC8-A77F-416CE808E359}" formatIdx="0">
          <cx:tx>
            <cx:txData>
              <cx:f>_xlchart.v1.18</cx:f>
              <cx:v>Wait_Time_mins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Histogram-Distribution of Customer Wait times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Histogram-Distribution of Customer Wait times</a:t>
          </a:r>
        </a:p>
      </cx:txPr>
    </cx:title>
    <cx:plotArea>
      <cx:plotAreaRegion>
        <cx:series layoutId="clusteredColumn" uniqueId="{4918F139-7AD5-4ECC-B3FE-866AFFDF1556}">
          <cx:tx>
            <cx:txData>
              <cx:f>_xlchart.v1.15</cx:f>
              <cx:v>Wait_Time_mins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Wait time (minutes)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Wait time (minutes)</a:t>
              </a:r>
            </a:p>
          </cx:txPr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Number of customers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</xdr:row>
      <xdr:rowOff>12700</xdr:rowOff>
    </xdr:from>
    <xdr:to>
      <xdr:col>7</xdr:col>
      <xdr:colOff>349250</xdr:colOff>
      <xdr:row>15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A5F6E3-9DC2-47B6-A726-66A44159F8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" y="19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361950</xdr:colOff>
      <xdr:row>1</xdr:row>
      <xdr:rowOff>12700</xdr:rowOff>
    </xdr:from>
    <xdr:to>
      <xdr:col>15</xdr:col>
      <xdr:colOff>57150</xdr:colOff>
      <xdr:row>15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6AE893B-9D66-4B4A-A5C9-EBC82C7193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9150" y="19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9.015417939816" createdVersion="6" refreshedVersion="6" minRefreshableVersion="3" recordCount="500" xr:uid="{1B1DF748-7F6F-4A74-BFE2-18D28EF48F94}">
  <cacheSource type="worksheet">
    <worksheetSource ref="A1:L501" sheet="Data"/>
  </cacheSource>
  <cacheFields count="12">
    <cacheField name="Observation_ID" numFmtId="0">
      <sharedItems containsSemiMixedTypes="0" containsString="0" containsNumber="1" containsInteger="1" minValue="1" maxValue="500"/>
    </cacheField>
    <cacheField name="Outlet_Name" numFmtId="0">
      <sharedItems count="4">
        <s v="McDonald's"/>
        <s v="KFC"/>
        <s v="Burger King"/>
        <s v="Dominos"/>
      </sharedItems>
    </cacheField>
    <cacheField name="Date" numFmtId="0">
      <sharedItems/>
    </cacheField>
    <cacheField name="Day_Type" numFmtId="0">
      <sharedItems count="2">
        <s v="Weekday"/>
        <s v="Weekend"/>
      </sharedItems>
    </cacheField>
    <cacheField name="Time_Slot" numFmtId="0">
      <sharedItems count="3">
        <s v="Night"/>
        <s v="Evening"/>
        <s v="Afternoon"/>
      </sharedItems>
    </cacheField>
    <cacheField name="Arrival_Time" numFmtId="0">
      <sharedItems/>
    </cacheField>
    <cacheField name="Service_Start_Time" numFmtId="0">
      <sharedItems/>
    </cacheField>
    <cacheField name="Service_End_Time" numFmtId="0">
      <sharedItems/>
    </cacheField>
    <cacheField name="Wait_Time_mins" numFmtId="0">
      <sharedItems containsSemiMixedTypes="0" containsString="0" containsNumber="1" minValue="0.5" maxValue="162.38999999999999" count="466">
        <n v="22.49"/>
        <n v="7.18"/>
        <n v="5.38"/>
        <n v="25.18"/>
        <n v="23.67"/>
        <n v="4.21"/>
        <n v="39.6"/>
        <n v="8.92"/>
        <n v="9.81"/>
        <n v="13.07"/>
        <n v="14.25"/>
        <n v="9.74"/>
        <n v="89.11"/>
        <n v="15.43"/>
        <n v="19.55"/>
        <n v="4.91"/>
        <n v="97.18"/>
        <n v="8.01"/>
        <n v="9.23"/>
        <n v="25.55"/>
        <n v="35.54"/>
        <n v="0.5"/>
        <n v="21.3"/>
        <n v="19.73"/>
        <n v="25.66"/>
        <n v="2.81"/>
        <n v="17.3"/>
        <n v="28.12"/>
        <n v="28.25"/>
        <n v="10.029999999999999"/>
        <n v="3.79"/>
        <n v="19.18"/>
        <n v="42.36"/>
        <n v="16.399999999999999"/>
        <n v="4.1399999999999997"/>
        <n v="18.010000000000002"/>
        <n v="19.82"/>
        <n v="42.54"/>
        <n v="5.94"/>
        <n v="52.82"/>
        <n v="46.22"/>
        <n v="10.15"/>
        <n v="46.56"/>
        <n v="19.32"/>
        <n v="8.9499999999999993"/>
        <n v="25.82"/>
        <n v="30.39"/>
        <n v="20.54"/>
        <n v="30"/>
        <n v="82.28"/>
        <n v="51.56"/>
        <n v="19.39"/>
        <n v="41.5"/>
        <n v="14.18"/>
        <n v="21.96"/>
        <n v="30.87"/>
        <n v="13.59"/>
        <n v="13.47"/>
        <n v="39.479999999999997"/>
        <n v="2.35"/>
        <n v="11.71"/>
        <n v="5.55"/>
        <n v="12.83"/>
        <n v="11.61"/>
        <n v="6.48"/>
        <n v="21.78"/>
        <n v="22.75"/>
        <n v="37.36"/>
        <n v="26.38"/>
        <n v="52.93"/>
        <n v="38.03"/>
        <n v="12.13"/>
        <n v="30.21"/>
        <n v="16.71"/>
        <n v="14.59"/>
        <n v="29.05"/>
        <n v="2.13"/>
        <n v="18.989999999999998"/>
        <n v="22.38"/>
        <n v="33.85"/>
        <n v="82.99"/>
        <n v="14.83"/>
        <n v="20.22"/>
        <n v="6.94"/>
        <n v="22.92"/>
        <n v="8.8800000000000008"/>
        <n v="18.739999999999998"/>
        <n v="16.02"/>
        <n v="12.48"/>
        <n v="21.4"/>
        <n v="30.68"/>
        <n v="12.38"/>
        <n v="11.23"/>
        <n v="9.4600000000000009"/>
        <n v="57.07"/>
        <n v="10.46"/>
        <n v="10.96"/>
        <n v="12.25"/>
        <n v="5.01"/>
        <n v="31.36"/>
        <n v="7.32"/>
        <n v="34.42"/>
        <n v="13.45"/>
        <n v="21.88"/>
        <n v="20.74"/>
        <n v="24.67"/>
        <n v="17.89"/>
        <n v="63.63"/>
        <n v="10.44"/>
        <n v="25.35"/>
        <n v="122.3"/>
        <n v="15.07"/>
        <n v="64.930000000000007"/>
        <n v="11.18"/>
        <n v="12.46"/>
        <n v="18.12"/>
        <n v="27.09"/>
        <n v="9.6"/>
        <n v="11.32"/>
        <n v="8.23"/>
        <n v="102.44"/>
        <n v="36.119999999999997"/>
        <n v="12.57"/>
        <n v="6.95"/>
        <n v="10.43"/>
        <n v="19.71"/>
        <n v="10.61"/>
        <n v="10.95"/>
        <n v="1.64"/>
        <n v="34.78"/>
        <n v="2.1"/>
        <n v="28.65"/>
        <n v="2.92"/>
        <n v="36.04"/>
        <n v="33.49"/>
        <n v="30.52"/>
        <n v="6.55"/>
        <n v="31.35"/>
        <n v="14.42"/>
        <n v="25.44"/>
        <n v="2.4900000000000002"/>
        <n v="14.2"/>
        <n v="16.510000000000002"/>
        <n v="12.47"/>
        <n v="20.93"/>
        <n v="12.96"/>
        <n v="33.68"/>
        <n v="33.92"/>
        <n v="14.92"/>
        <n v="25.01"/>
        <n v="10.76"/>
        <n v="9.42"/>
        <n v="9.33"/>
        <n v="24.06"/>
        <n v="51"/>
        <n v="7.37"/>
        <n v="12.9"/>
        <n v="55.4"/>
        <n v="27.61"/>
        <n v="18.97"/>
        <n v="22.05"/>
        <n v="8.3800000000000008"/>
        <n v="9.4499999999999993"/>
        <n v="10.53"/>
        <n v="10"/>
        <n v="22.52"/>
        <n v="29.95"/>
        <n v="48.64"/>
        <n v="8.39"/>
        <n v="9.9499999999999993"/>
        <n v="8.32"/>
        <n v="20.23"/>
        <n v="39.840000000000003"/>
        <n v="11.83"/>
        <n v="16.38"/>
        <n v="10.81"/>
        <n v="7.94"/>
        <n v="13.74"/>
        <n v="38.1"/>
        <n v="10.3"/>
        <n v="3.53"/>
        <n v="5.69"/>
        <n v="12.28"/>
        <n v="6.15"/>
        <n v="8.91"/>
        <n v="13.61"/>
        <n v="8.8000000000000007"/>
        <n v="22.4"/>
        <n v="19.010000000000002"/>
        <n v="20.76"/>
        <n v="28.11"/>
        <n v="5.59"/>
        <n v="1.49"/>
        <n v="15.58"/>
        <n v="32.11"/>
        <n v="4.79"/>
        <n v="8.14"/>
        <n v="10.57"/>
        <n v="26.34"/>
        <n v="54.46"/>
        <n v="11.85"/>
        <n v="19.440000000000001"/>
        <n v="7.84"/>
        <n v="16.37"/>
        <n v="110.16"/>
        <n v="29.91"/>
        <n v="27.54"/>
        <n v="22.2"/>
        <n v="23.61"/>
        <n v="13.93"/>
        <n v="34.950000000000003"/>
        <n v="1.76"/>
        <n v="23.21"/>
        <n v="5.96"/>
        <n v="11.46"/>
        <n v="27.53"/>
        <n v="6.71"/>
        <n v="11.89"/>
        <n v="7.93"/>
        <n v="26.54"/>
        <n v="16.04"/>
        <n v="12.24"/>
        <n v="37.869999999999997"/>
        <n v="9.61"/>
        <n v="60.32"/>
        <n v="11.27"/>
        <n v="3.09"/>
        <n v="36.36"/>
        <n v="1.81"/>
        <n v="20.100000000000001"/>
        <n v="20.260000000000002"/>
        <n v="31.55"/>
        <n v="34.299999999999997"/>
        <n v="15.17"/>
        <n v="20.75"/>
        <n v="15.63"/>
        <n v="15.89"/>
        <n v="24.99"/>
        <n v="28.14"/>
        <n v="13.14"/>
        <n v="8.4499999999999993"/>
        <n v="11.67"/>
        <n v="42.65"/>
        <n v="12.78"/>
        <n v="3.14"/>
        <n v="41.78"/>
        <n v="17.309999999999999"/>
        <n v="7.28"/>
        <n v="5.84"/>
        <n v="49.39"/>
        <n v="24.19"/>
        <n v="13.23"/>
        <n v="5.87"/>
        <n v="43.48"/>
        <n v="8.27"/>
        <n v="2.34"/>
        <n v="79.87"/>
        <n v="34.85"/>
        <n v="18.41"/>
        <n v="24.77"/>
        <n v="17.72"/>
        <n v="30.4"/>
        <n v="44.69"/>
        <n v="5.07"/>
        <n v="23.48"/>
        <n v="10.24"/>
        <n v="27.28"/>
        <n v="36.15"/>
        <n v="7.81"/>
        <n v="5.35"/>
        <n v="7.76"/>
        <n v="10.29"/>
        <n v="17.260000000000002"/>
        <n v="44.06"/>
        <n v="9.86"/>
        <n v="10.79"/>
        <n v="14.87"/>
        <n v="3.4"/>
        <n v="15.01"/>
        <n v="17.95"/>
        <n v="42.09"/>
        <n v="8.51"/>
        <n v="1.23"/>
        <n v="29.57"/>
        <n v="6.33"/>
        <n v="50.93"/>
        <n v="5.63"/>
        <n v="10.8"/>
        <n v="13.2"/>
        <n v="13.43"/>
        <n v="89.14"/>
        <n v="44.38"/>
        <n v="4.99"/>
        <n v="9.0399999999999991"/>
        <n v="13.46"/>
        <n v="19.34"/>
        <n v="10.64"/>
        <n v="3.37"/>
        <n v="35.65"/>
        <n v="0.67"/>
        <n v="10.45"/>
        <n v="22.69"/>
        <n v="5.89"/>
        <n v="7.36"/>
        <n v="9.8699999999999992"/>
        <n v="3.62"/>
        <n v="21.33"/>
        <n v="10.38"/>
        <n v="59.28"/>
        <n v="135.81"/>
        <n v="31.73"/>
        <n v="7.08"/>
        <n v="37.51"/>
        <n v="20.57"/>
        <n v="4.7"/>
        <n v="17.399999999999999"/>
        <n v="25.85"/>
        <n v="20.47"/>
        <n v="120.02"/>
        <n v="8.06"/>
        <n v="10.32"/>
        <n v="34.43"/>
        <n v="10.16"/>
        <n v="12.04"/>
        <n v="11.25"/>
        <n v="28.4"/>
        <n v="15.42"/>
        <n v="52.83"/>
        <n v="23.3"/>
        <n v="25.07"/>
        <n v="16.29"/>
        <n v="24.73"/>
        <n v="8.77"/>
        <n v="33.99"/>
        <n v="18.71"/>
        <n v="5.49"/>
        <n v="6.74"/>
        <n v="5.18"/>
        <n v="76.27"/>
        <n v="20.59"/>
        <n v="12.6"/>
        <n v="4.95"/>
        <n v="7.8"/>
        <n v="23.06"/>
        <n v="13.44"/>
        <n v="2.23"/>
        <n v="27.26"/>
        <n v="29.1"/>
        <n v="49.34"/>
        <n v="19.62"/>
        <n v="15.14"/>
        <n v="6.04"/>
        <n v="10.210000000000001"/>
        <n v="34.94"/>
        <n v="9.02"/>
        <n v="22.77"/>
        <n v="38.44"/>
        <n v="40.99"/>
        <n v="19.899999999999999"/>
        <n v="21.08"/>
        <n v="18.89"/>
        <n v="17.38"/>
        <n v="26.87"/>
        <n v="53.08"/>
        <n v="24.35"/>
        <n v="21.07"/>
        <n v="14.31"/>
        <n v="2.93"/>
        <n v="3.93"/>
        <n v="11.52"/>
        <n v="8.36"/>
        <n v="35.6"/>
        <n v="13.34"/>
        <n v="67.78"/>
        <n v="27.99"/>
        <n v="10.039999999999999"/>
        <n v="6.7"/>
        <n v="21.7"/>
        <n v="9.06"/>
        <n v="9.91"/>
        <n v="6.14"/>
        <n v="16.010000000000002"/>
        <n v="71.19"/>
        <n v="5.54"/>
        <n v="0.74"/>
        <n v="0.76"/>
        <n v="50.17"/>
        <n v="162.38999999999999"/>
        <n v="51.51"/>
        <n v="61.29"/>
        <n v="26.88"/>
        <n v="11.29"/>
        <n v="93.86"/>
        <n v="51.94"/>
        <n v="38.33"/>
        <n v="13.25"/>
        <n v="43.4"/>
        <n v="15.36"/>
        <n v="9.26"/>
        <n v="24.47"/>
        <n v="2.4500000000000002"/>
        <n v="29.81"/>
        <n v="1.86"/>
        <n v="23.57"/>
        <n v="27.08"/>
        <n v="11"/>
        <n v="4.4000000000000004"/>
        <n v="18.88"/>
        <n v="8.34"/>
        <n v="44.4"/>
        <n v="17.829999999999998"/>
        <n v="12.66"/>
        <n v="21.67"/>
        <n v="5.0599999999999996"/>
        <n v="14.32"/>
        <n v="6.1"/>
        <n v="11.78"/>
        <n v="6.45"/>
        <n v="2.02"/>
        <n v="24.21"/>
        <n v="16.48"/>
        <n v="2.64"/>
        <n v="15.35"/>
        <n v="7.86"/>
        <n v="77.510000000000005"/>
        <n v="20.66"/>
        <n v="5.4"/>
        <n v="4.92"/>
        <n v="80.06"/>
        <n v="26.73"/>
        <n v="1.24"/>
        <n v="12.02"/>
        <n v="152.76"/>
        <n v="13.17"/>
        <n v="6.44"/>
        <n v="38.18"/>
        <n v="5.13"/>
        <n v="3.51"/>
        <n v="10.6"/>
        <n v="7.59"/>
        <n v="53.16"/>
        <n v="14.33"/>
        <n v="5.14"/>
        <n v="11.88"/>
        <n v="3.89"/>
        <n v="21.16"/>
        <n v="7.02"/>
        <n v="56.22"/>
        <n v="11.38"/>
        <n v="26.09"/>
        <n v="33.840000000000003"/>
        <n v="8.2799999999999994"/>
        <n v="42.05"/>
        <n v="14.84"/>
        <n v="15.87"/>
        <n v="3.67"/>
        <n v="8.16"/>
        <n v="15.13"/>
        <n v="4.18"/>
        <n v="17.559999999999999"/>
        <n v="13.84"/>
        <n v="50.96"/>
        <n v="25.86"/>
        <n v="8.5299999999999994"/>
        <n v="15.88"/>
        <n v="8.83"/>
      </sharedItems>
    </cacheField>
    <cacheField name="Service_Time_mins" numFmtId="0">
      <sharedItems containsSemiMixedTypes="0" containsString="0" containsNumber="1" minValue="1.37" maxValue="11.44"/>
    </cacheField>
    <cacheField name="Num_People_Ahead" numFmtId="0">
      <sharedItems containsSemiMixedTypes="0" containsString="0" containsNumber="1" containsInteger="1" minValue="0" maxValue="19"/>
    </cacheField>
    <cacheField name="Num_Servers_Open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s v="01-10-2026"/>
    <x v="0"/>
    <x v="0"/>
    <s v="18:15:14"/>
    <s v="18:37:43"/>
    <s v="18:42:30"/>
    <x v="0"/>
    <n v="4.79"/>
    <n v="5"/>
    <n v="1"/>
  </r>
  <r>
    <n v="2"/>
    <x v="0"/>
    <s v="01-10-2026"/>
    <x v="0"/>
    <x v="0"/>
    <s v="20:02:01"/>
    <s v="20:09:11"/>
    <s v="20:12:41"/>
    <x v="1"/>
    <n v="3.5"/>
    <n v="2"/>
    <n v="1"/>
  </r>
  <r>
    <n v="3"/>
    <x v="1"/>
    <s v="01-10-2026"/>
    <x v="0"/>
    <x v="0"/>
    <s v="12:35:12"/>
    <s v="12:40:34"/>
    <s v="12:46:04"/>
    <x v="2"/>
    <n v="5.49"/>
    <n v="4"/>
    <n v="3"/>
  </r>
  <r>
    <n v="4"/>
    <x v="2"/>
    <s v="01-10-2026"/>
    <x v="0"/>
    <x v="1"/>
    <s v="18:51:55"/>
    <s v="19:17:05"/>
    <s v="19:22:24"/>
    <x v="3"/>
    <n v="5.31"/>
    <n v="5"/>
    <n v="1"/>
  </r>
  <r>
    <n v="5"/>
    <x v="1"/>
    <s v="01-10-2026"/>
    <x v="1"/>
    <x v="1"/>
    <s v="18:09:13"/>
    <s v="18:32:53"/>
    <s v="18:41:45"/>
    <x v="4"/>
    <n v="8.8699999999999992"/>
    <n v="7"/>
    <n v="2"/>
  </r>
  <r>
    <n v="6"/>
    <x v="0"/>
    <s v="01-10-2026"/>
    <x v="0"/>
    <x v="1"/>
    <s v="13:22:54"/>
    <s v="13:27:06"/>
    <s v="13:32:03"/>
    <x v="5"/>
    <n v="4.9400000000000004"/>
    <n v="2"/>
    <n v="2"/>
  </r>
  <r>
    <n v="7"/>
    <x v="3"/>
    <s v="01-10-2026"/>
    <x v="0"/>
    <x v="0"/>
    <s v="21:34:07"/>
    <s v="22:13:43"/>
    <s v="22:19:36"/>
    <x v="6"/>
    <n v="5.89"/>
    <n v="11"/>
    <n v="2"/>
  </r>
  <r>
    <n v="8"/>
    <x v="0"/>
    <s v="01-10-2026"/>
    <x v="1"/>
    <x v="0"/>
    <s v="19:36:12"/>
    <s v="19:45:07"/>
    <s v="19:50:50"/>
    <x v="7"/>
    <n v="5.72"/>
    <n v="5"/>
    <n v="3"/>
  </r>
  <r>
    <n v="9"/>
    <x v="0"/>
    <s v="01-10-2026"/>
    <x v="0"/>
    <x v="0"/>
    <s v="17:49:18"/>
    <s v="17:59:06"/>
    <s v="18:04:13"/>
    <x v="8"/>
    <n v="5.12"/>
    <n v="3"/>
    <n v="1"/>
  </r>
  <r>
    <n v="10"/>
    <x v="1"/>
    <s v="01-10-2026"/>
    <x v="0"/>
    <x v="1"/>
    <s v="18:29:40"/>
    <s v="18:42:44"/>
    <s v="18:48:30"/>
    <x v="9"/>
    <n v="5.77"/>
    <n v="5"/>
    <n v="2"/>
  </r>
  <r>
    <n v="11"/>
    <x v="1"/>
    <s v="01-10-2026"/>
    <x v="1"/>
    <x v="1"/>
    <s v="17:42:17"/>
    <s v="17:56:32"/>
    <s v="18:04:35"/>
    <x v="10"/>
    <n v="8.06"/>
    <n v="7"/>
    <n v="3"/>
  </r>
  <r>
    <n v="12"/>
    <x v="0"/>
    <s v="01-10-2026"/>
    <x v="0"/>
    <x v="0"/>
    <s v="17:10:29"/>
    <s v="17:20:13"/>
    <s v="17:23:49"/>
    <x v="11"/>
    <n v="3.6"/>
    <n v="5"/>
    <n v="2"/>
  </r>
  <r>
    <n v="13"/>
    <x v="3"/>
    <s v="01-10-2026"/>
    <x v="0"/>
    <x v="0"/>
    <s v="19:53:49"/>
    <s v="21:22:55"/>
    <s v="21:28:56"/>
    <x v="12"/>
    <n v="6.01"/>
    <n v="12"/>
    <n v="1"/>
  </r>
  <r>
    <n v="14"/>
    <x v="1"/>
    <s v="01-10-2026"/>
    <x v="0"/>
    <x v="1"/>
    <s v="20:17:04"/>
    <s v="20:32:29"/>
    <s v="20:37:55"/>
    <x v="13"/>
    <n v="5.43"/>
    <n v="3"/>
    <n v="1"/>
  </r>
  <r>
    <n v="15"/>
    <x v="3"/>
    <s v="01-10-2026"/>
    <x v="0"/>
    <x v="0"/>
    <s v="21:25:56"/>
    <s v="21:45:29"/>
    <s v="21:52:56"/>
    <x v="14"/>
    <n v="7.45"/>
    <n v="9"/>
    <n v="3"/>
  </r>
  <r>
    <n v="16"/>
    <x v="2"/>
    <s v="01-10-2026"/>
    <x v="0"/>
    <x v="1"/>
    <s v="14:15:47"/>
    <s v="14:20:41"/>
    <s v="14:26:11"/>
    <x v="15"/>
    <n v="5.5"/>
    <n v="3"/>
    <n v="3"/>
  </r>
  <r>
    <n v="17"/>
    <x v="3"/>
    <s v="01-10-2026"/>
    <x v="1"/>
    <x v="0"/>
    <s v="20:23:14"/>
    <s v="22:00:24"/>
    <s v="22:08:48"/>
    <x v="16"/>
    <n v="8.4"/>
    <n v="11"/>
    <n v="1"/>
  </r>
  <r>
    <n v="18"/>
    <x v="2"/>
    <s v="01-10-2026"/>
    <x v="0"/>
    <x v="2"/>
    <s v="13:09:40"/>
    <s v="13:17:40"/>
    <s v="13:21:18"/>
    <x v="17"/>
    <n v="3.63"/>
    <n v="2"/>
    <n v="1"/>
  </r>
  <r>
    <n v="19"/>
    <x v="2"/>
    <s v="01-10-2026"/>
    <x v="0"/>
    <x v="1"/>
    <s v="20:38:29"/>
    <s v="20:47:42"/>
    <s v="20:52:35"/>
    <x v="18"/>
    <n v="4.88"/>
    <n v="6"/>
    <n v="3"/>
  </r>
  <r>
    <n v="20"/>
    <x v="3"/>
    <s v="01-10-2026"/>
    <x v="0"/>
    <x v="0"/>
    <s v="13:43:56"/>
    <s v="14:09:29"/>
    <s v="14:15:38"/>
    <x v="19"/>
    <n v="6.15"/>
    <n v="11"/>
    <n v="3"/>
  </r>
  <r>
    <n v="21"/>
    <x v="3"/>
    <s v="01-10-2026"/>
    <x v="1"/>
    <x v="2"/>
    <s v="18:27:10"/>
    <s v="19:02:42"/>
    <s v="19:09:47"/>
    <x v="20"/>
    <n v="7.09"/>
    <n v="9"/>
    <n v="2"/>
  </r>
  <r>
    <n v="22"/>
    <x v="0"/>
    <s v="01-10-2026"/>
    <x v="1"/>
    <x v="0"/>
    <s v="14:32:58"/>
    <s v="14:33:28"/>
    <s v="14:37:04"/>
    <x v="21"/>
    <n v="3.61"/>
    <n v="0"/>
    <n v="1"/>
  </r>
  <r>
    <n v="23"/>
    <x v="3"/>
    <s v="01-10-2026"/>
    <x v="0"/>
    <x v="2"/>
    <s v="19:48:10"/>
    <s v="20:09:28"/>
    <s v="20:15:13"/>
    <x v="22"/>
    <n v="5.75"/>
    <n v="10"/>
    <n v="3"/>
  </r>
  <r>
    <n v="24"/>
    <x v="0"/>
    <s v="01-10-2026"/>
    <x v="1"/>
    <x v="1"/>
    <s v="12:07:59"/>
    <s v="12:27:42"/>
    <s v="12:33:08"/>
    <x v="23"/>
    <n v="5.43"/>
    <n v="8"/>
    <n v="2"/>
  </r>
  <r>
    <n v="25"/>
    <x v="3"/>
    <s v="01-10-2026"/>
    <x v="0"/>
    <x v="2"/>
    <s v="17:56:36"/>
    <s v="18:22:15"/>
    <s v="18:29:28"/>
    <x v="24"/>
    <n v="7.21"/>
    <n v="4"/>
    <n v="1"/>
  </r>
  <r>
    <n v="26"/>
    <x v="0"/>
    <s v="01-10-2026"/>
    <x v="1"/>
    <x v="2"/>
    <s v="14:08:42"/>
    <s v="14:11:30"/>
    <s v="14:15:38"/>
    <x v="25"/>
    <n v="4.13"/>
    <n v="1"/>
    <n v="2"/>
  </r>
  <r>
    <n v="27"/>
    <x v="1"/>
    <s v="01-10-2026"/>
    <x v="1"/>
    <x v="0"/>
    <s v="20:13:59"/>
    <s v="20:31:17"/>
    <s v="20:37:38"/>
    <x v="26"/>
    <n v="6.36"/>
    <n v="9"/>
    <n v="3"/>
  </r>
  <r>
    <n v="28"/>
    <x v="1"/>
    <s v="01-10-2026"/>
    <x v="1"/>
    <x v="1"/>
    <s v="19:28:57"/>
    <s v="19:57:04"/>
    <s v="20:04:57"/>
    <x v="27"/>
    <n v="7.89"/>
    <n v="12"/>
    <n v="3"/>
  </r>
  <r>
    <n v="29"/>
    <x v="2"/>
    <s v="01-10-2026"/>
    <x v="0"/>
    <x v="2"/>
    <s v="17:04:21"/>
    <s v="17:32:36"/>
    <s v="17:35:44"/>
    <x v="28"/>
    <n v="3.14"/>
    <n v="7"/>
    <n v="1"/>
  </r>
  <r>
    <n v="30"/>
    <x v="1"/>
    <s v="01-10-2026"/>
    <x v="0"/>
    <x v="2"/>
    <s v="13:45:40"/>
    <s v="13:55:41"/>
    <s v="13:58:35"/>
    <x v="29"/>
    <n v="2.89"/>
    <n v="2"/>
    <n v="1"/>
  </r>
  <r>
    <n v="31"/>
    <x v="1"/>
    <s v="01-10-2026"/>
    <x v="0"/>
    <x v="2"/>
    <s v="19:04:32"/>
    <s v="19:08:19"/>
    <s v="19:13:54"/>
    <x v="30"/>
    <n v="5.59"/>
    <n v="1"/>
    <n v="1"/>
  </r>
  <r>
    <n v="32"/>
    <x v="3"/>
    <s v="01-10-2026"/>
    <x v="1"/>
    <x v="2"/>
    <s v="14:46:59"/>
    <s v="15:06:09"/>
    <s v="15:15:48"/>
    <x v="31"/>
    <n v="9.64"/>
    <n v="6"/>
    <n v="3"/>
  </r>
  <r>
    <n v="33"/>
    <x v="2"/>
    <s v="01-10-2026"/>
    <x v="0"/>
    <x v="1"/>
    <s v="20:12:06"/>
    <s v="20:54:27"/>
    <s v="21:00:31"/>
    <x v="32"/>
    <n v="6.07"/>
    <n v="8"/>
    <n v="1"/>
  </r>
  <r>
    <n v="34"/>
    <x v="2"/>
    <s v="01-10-2026"/>
    <x v="1"/>
    <x v="1"/>
    <s v="20:29:55"/>
    <s v="20:39:39"/>
    <s v="20:47:10"/>
    <x v="11"/>
    <n v="7.51"/>
    <n v="4"/>
    <n v="3"/>
  </r>
  <r>
    <n v="35"/>
    <x v="0"/>
    <s v="01-10-2026"/>
    <x v="0"/>
    <x v="2"/>
    <s v="20:46:21"/>
    <s v="21:02:45"/>
    <s v="21:04:58"/>
    <x v="33"/>
    <n v="2.2200000000000002"/>
    <n v="5"/>
    <n v="1"/>
  </r>
  <r>
    <n v="36"/>
    <x v="1"/>
    <s v="01-10-2026"/>
    <x v="0"/>
    <x v="2"/>
    <s v="21:08:27"/>
    <s v="21:12:35"/>
    <s v="21:18:57"/>
    <x v="34"/>
    <n v="6.37"/>
    <n v="1"/>
    <n v="1"/>
  </r>
  <r>
    <n v="37"/>
    <x v="3"/>
    <s v="01-10-2026"/>
    <x v="1"/>
    <x v="2"/>
    <s v="13:28:51"/>
    <s v="13:46:51"/>
    <s v="13:54:11"/>
    <x v="35"/>
    <n v="7.33"/>
    <n v="7"/>
    <n v="3"/>
  </r>
  <r>
    <n v="38"/>
    <x v="0"/>
    <s v="01-10-2026"/>
    <x v="0"/>
    <x v="0"/>
    <s v="12:05:59"/>
    <s v="12:25:48"/>
    <s v="12:29:53"/>
    <x v="36"/>
    <n v="4.09"/>
    <n v="5"/>
    <n v="1"/>
  </r>
  <r>
    <n v="39"/>
    <x v="1"/>
    <s v="01-10-2026"/>
    <x v="1"/>
    <x v="1"/>
    <s v="21:13:55"/>
    <s v="21:56:27"/>
    <s v="22:02:51"/>
    <x v="37"/>
    <n v="6.4"/>
    <n v="12"/>
    <n v="2"/>
  </r>
  <r>
    <n v="40"/>
    <x v="0"/>
    <s v="01-10-2026"/>
    <x v="0"/>
    <x v="1"/>
    <s v="12:24:16"/>
    <s v="12:30:12"/>
    <s v="12:35:36"/>
    <x v="38"/>
    <n v="5.4"/>
    <n v="3"/>
    <n v="2"/>
  </r>
  <r>
    <n v="41"/>
    <x v="3"/>
    <s v="01-10-2026"/>
    <x v="1"/>
    <x v="0"/>
    <s v="21:09:12"/>
    <s v="22:02:01"/>
    <s v="22:12:09"/>
    <x v="39"/>
    <n v="10.130000000000001"/>
    <n v="12"/>
    <n v="2"/>
  </r>
  <r>
    <n v="42"/>
    <x v="1"/>
    <s v="01-10-2026"/>
    <x v="0"/>
    <x v="0"/>
    <s v="12:47:20"/>
    <s v="13:33:33"/>
    <s v="13:39:35"/>
    <x v="40"/>
    <n v="6.03"/>
    <n v="9"/>
    <n v="1"/>
  </r>
  <r>
    <n v="43"/>
    <x v="0"/>
    <s v="01-10-2026"/>
    <x v="1"/>
    <x v="0"/>
    <s v="14:03:32"/>
    <s v="14:13:41"/>
    <s v="14:18:23"/>
    <x v="41"/>
    <n v="4.7"/>
    <n v="2"/>
    <n v="1"/>
  </r>
  <r>
    <n v="44"/>
    <x v="1"/>
    <s v="01-10-2026"/>
    <x v="0"/>
    <x v="0"/>
    <s v="13:43:55"/>
    <s v="14:30:28"/>
    <s v="14:34:45"/>
    <x v="42"/>
    <n v="4.28"/>
    <n v="9"/>
    <n v="1"/>
  </r>
  <r>
    <n v="45"/>
    <x v="2"/>
    <s v="01-10-2026"/>
    <x v="0"/>
    <x v="0"/>
    <s v="17:37:38"/>
    <s v="17:56:57"/>
    <s v="18:02:54"/>
    <x v="43"/>
    <n v="5.96"/>
    <n v="4"/>
    <n v="1"/>
  </r>
  <r>
    <n v="46"/>
    <x v="0"/>
    <s v="01-10-2026"/>
    <x v="1"/>
    <x v="0"/>
    <s v="19:59:16"/>
    <s v="20:08:13"/>
    <s v="20:13:16"/>
    <x v="44"/>
    <n v="5.0599999999999996"/>
    <n v="2"/>
    <n v="1"/>
  </r>
  <r>
    <n v="47"/>
    <x v="3"/>
    <s v="01-10-2026"/>
    <x v="0"/>
    <x v="1"/>
    <s v="20:08:42"/>
    <s v="20:34:31"/>
    <s v="20:44:27"/>
    <x v="45"/>
    <n v="9.93"/>
    <n v="9"/>
    <n v="3"/>
  </r>
  <r>
    <n v="48"/>
    <x v="3"/>
    <s v="01-10-2026"/>
    <x v="1"/>
    <x v="1"/>
    <s v="13:00:29"/>
    <s v="13:30:52"/>
    <s v="13:40:00"/>
    <x v="46"/>
    <n v="9.14"/>
    <n v="9"/>
    <n v="3"/>
  </r>
  <r>
    <n v="49"/>
    <x v="0"/>
    <s v="01-10-2026"/>
    <x v="0"/>
    <x v="0"/>
    <s v="17:32:16"/>
    <s v="17:32:46"/>
    <s v="17:36:44"/>
    <x v="21"/>
    <n v="3.98"/>
    <n v="0"/>
    <n v="1"/>
  </r>
  <r>
    <n v="50"/>
    <x v="3"/>
    <s v="01-10-2026"/>
    <x v="0"/>
    <x v="2"/>
    <s v="19:18:10"/>
    <s v="19:38:42"/>
    <s v="19:44:48"/>
    <x v="47"/>
    <n v="6.1"/>
    <n v="6"/>
    <n v="2"/>
  </r>
  <r>
    <n v="51"/>
    <x v="3"/>
    <s v="01-10-2026"/>
    <x v="0"/>
    <x v="0"/>
    <s v="18:59:42"/>
    <s v="19:29:42"/>
    <s v="19:38:09"/>
    <x v="48"/>
    <n v="8.4600000000000009"/>
    <n v="4"/>
    <n v="1"/>
  </r>
  <r>
    <n v="52"/>
    <x v="1"/>
    <s v="01-10-2026"/>
    <x v="1"/>
    <x v="2"/>
    <s v="13:47:35"/>
    <s v="14:27:11"/>
    <s v="14:34:24"/>
    <x v="6"/>
    <n v="7.22"/>
    <n v="7"/>
    <n v="1"/>
  </r>
  <r>
    <n v="53"/>
    <x v="3"/>
    <s v="01-10-2026"/>
    <x v="1"/>
    <x v="0"/>
    <s v="17:45:21"/>
    <s v="19:07:37"/>
    <s v="19:14:47"/>
    <x v="49"/>
    <n v="7.16"/>
    <n v="9"/>
    <n v="1"/>
  </r>
  <r>
    <n v="54"/>
    <x v="3"/>
    <s v="01-10-2026"/>
    <x v="1"/>
    <x v="1"/>
    <s v="12:05:40"/>
    <s v="12:57:13"/>
    <s v="13:08:20"/>
    <x v="50"/>
    <n v="11.11"/>
    <n v="10"/>
    <n v="2"/>
  </r>
  <r>
    <n v="55"/>
    <x v="3"/>
    <s v="01-10-2026"/>
    <x v="0"/>
    <x v="2"/>
    <s v="19:49:08"/>
    <s v="20:08:31"/>
    <s v="20:14:44"/>
    <x v="51"/>
    <n v="6.22"/>
    <n v="9"/>
    <n v="3"/>
  </r>
  <r>
    <n v="56"/>
    <x v="3"/>
    <s v="01-10-2026"/>
    <x v="0"/>
    <x v="0"/>
    <s v="21:35:45"/>
    <s v="22:17:15"/>
    <s v="22:25:01"/>
    <x v="52"/>
    <n v="7.78"/>
    <n v="11"/>
    <n v="2"/>
  </r>
  <r>
    <n v="57"/>
    <x v="0"/>
    <s v="01-10-2026"/>
    <x v="0"/>
    <x v="2"/>
    <s v="14:34:02"/>
    <s v="14:48:12"/>
    <s v="14:52:13"/>
    <x v="53"/>
    <n v="4.01"/>
    <n v="8"/>
    <n v="2"/>
  </r>
  <r>
    <n v="58"/>
    <x v="1"/>
    <s v="01-10-2026"/>
    <x v="1"/>
    <x v="2"/>
    <s v="12:19:23"/>
    <s v="12:41:20"/>
    <s v="12:48:47"/>
    <x v="54"/>
    <n v="7.45"/>
    <n v="4"/>
    <n v="1"/>
  </r>
  <r>
    <n v="59"/>
    <x v="3"/>
    <s v="01-10-2026"/>
    <x v="0"/>
    <x v="0"/>
    <s v="17:42:06"/>
    <s v="18:12:58"/>
    <s v="18:21:48"/>
    <x v="55"/>
    <n v="8.84"/>
    <n v="8"/>
    <n v="2"/>
  </r>
  <r>
    <n v="60"/>
    <x v="2"/>
    <s v="01-10-2026"/>
    <x v="0"/>
    <x v="2"/>
    <s v="14:51:51"/>
    <s v="15:05:26"/>
    <s v="15:07:40"/>
    <x v="56"/>
    <n v="2.2400000000000002"/>
    <n v="3"/>
    <n v="1"/>
  </r>
  <r>
    <n v="61"/>
    <x v="2"/>
    <s v="01-10-2026"/>
    <x v="0"/>
    <x v="2"/>
    <s v="19:50:59"/>
    <s v="20:04:27"/>
    <s v="20:08:47"/>
    <x v="57"/>
    <n v="4.33"/>
    <n v="6"/>
    <n v="2"/>
  </r>
  <r>
    <n v="62"/>
    <x v="1"/>
    <s v="01-10-2026"/>
    <x v="1"/>
    <x v="2"/>
    <s v="13:24:55"/>
    <s v="14:04:23"/>
    <s v="14:08:21"/>
    <x v="58"/>
    <n v="3.96"/>
    <n v="7"/>
    <n v="1"/>
  </r>
  <r>
    <n v="63"/>
    <x v="2"/>
    <s v="01-10-2026"/>
    <x v="0"/>
    <x v="2"/>
    <s v="21:22:19"/>
    <s v="21:24:40"/>
    <s v="21:29:09"/>
    <x v="59"/>
    <n v="4.49"/>
    <n v="1"/>
    <n v="1"/>
  </r>
  <r>
    <n v="64"/>
    <x v="1"/>
    <s v="01-10-2026"/>
    <x v="0"/>
    <x v="0"/>
    <s v="17:25:21"/>
    <s v="17:37:03"/>
    <s v="17:41:40"/>
    <x v="60"/>
    <n v="4.62"/>
    <n v="5"/>
    <n v="2"/>
  </r>
  <r>
    <n v="65"/>
    <x v="0"/>
    <s v="01-10-2026"/>
    <x v="1"/>
    <x v="1"/>
    <s v="20:43:53"/>
    <s v="20:49:26"/>
    <s v="20:52:36"/>
    <x v="61"/>
    <n v="3.18"/>
    <n v="3"/>
    <n v="3"/>
  </r>
  <r>
    <n v="66"/>
    <x v="3"/>
    <s v="01-10-2026"/>
    <x v="0"/>
    <x v="2"/>
    <s v="18:11:37"/>
    <s v="18:24:26"/>
    <s v="18:30:43"/>
    <x v="62"/>
    <n v="6.28"/>
    <n v="4"/>
    <n v="2"/>
  </r>
  <r>
    <n v="67"/>
    <x v="0"/>
    <s v="01-10-2026"/>
    <x v="0"/>
    <x v="0"/>
    <s v="20:22:46"/>
    <s v="20:34:22"/>
    <s v="20:38:05"/>
    <x v="63"/>
    <n v="3.71"/>
    <n v="4"/>
    <n v="2"/>
  </r>
  <r>
    <n v="68"/>
    <x v="2"/>
    <s v="01-10-2026"/>
    <x v="0"/>
    <x v="1"/>
    <s v="17:16:02"/>
    <s v="17:22:30"/>
    <s v="17:26:43"/>
    <x v="64"/>
    <n v="4.21"/>
    <n v="3"/>
    <n v="3"/>
  </r>
  <r>
    <n v="69"/>
    <x v="2"/>
    <s v="01-10-2026"/>
    <x v="0"/>
    <x v="0"/>
    <s v="17:23:27"/>
    <s v="17:45:13"/>
    <s v="17:48:55"/>
    <x v="65"/>
    <n v="3.7"/>
    <n v="5"/>
    <n v="1"/>
  </r>
  <r>
    <n v="70"/>
    <x v="3"/>
    <s v="01-10-2026"/>
    <x v="1"/>
    <x v="0"/>
    <s v="13:46:57"/>
    <s v="14:09:42"/>
    <s v="14:19:34"/>
    <x v="66"/>
    <n v="9.8800000000000008"/>
    <n v="5"/>
    <n v="2"/>
  </r>
  <r>
    <n v="71"/>
    <x v="3"/>
    <s v="01-10-2026"/>
    <x v="1"/>
    <x v="1"/>
    <s v="20:44:18"/>
    <s v="21:21:39"/>
    <s v="21:32:48"/>
    <x v="67"/>
    <n v="11.15"/>
    <n v="10"/>
    <n v="3"/>
  </r>
  <r>
    <n v="72"/>
    <x v="1"/>
    <s v="01-10-2026"/>
    <x v="0"/>
    <x v="1"/>
    <s v="20:43:47"/>
    <s v="21:10:09"/>
    <s v="21:16:57"/>
    <x v="68"/>
    <n v="6.79"/>
    <n v="5"/>
    <n v="1"/>
  </r>
  <r>
    <n v="73"/>
    <x v="3"/>
    <s v="01-10-2026"/>
    <x v="1"/>
    <x v="0"/>
    <s v="12:19:18"/>
    <s v="13:12:13"/>
    <s v="13:20:20"/>
    <x v="69"/>
    <n v="8.11"/>
    <n v="6"/>
    <n v="1"/>
  </r>
  <r>
    <n v="74"/>
    <x v="2"/>
    <s v="01-10-2026"/>
    <x v="1"/>
    <x v="1"/>
    <s v="21:28:43"/>
    <s v="22:06:44"/>
    <s v="22:12:54"/>
    <x v="70"/>
    <n v="6.16"/>
    <n v="6"/>
    <n v="1"/>
  </r>
  <r>
    <n v="75"/>
    <x v="2"/>
    <s v="01-10-2026"/>
    <x v="0"/>
    <x v="0"/>
    <s v="13:18:32"/>
    <s v="13:30:39"/>
    <s v="13:34:30"/>
    <x v="71"/>
    <n v="3.84"/>
    <n v="7"/>
    <n v="3"/>
  </r>
  <r>
    <n v="76"/>
    <x v="3"/>
    <s v="01-10-2026"/>
    <x v="0"/>
    <x v="2"/>
    <s v="18:14:51"/>
    <s v="18:45:03"/>
    <s v="18:52:21"/>
    <x v="72"/>
    <n v="7.3"/>
    <n v="5"/>
    <n v="1"/>
  </r>
  <r>
    <n v="77"/>
    <x v="1"/>
    <s v="01-10-2026"/>
    <x v="0"/>
    <x v="2"/>
    <s v="17:30:39"/>
    <s v="17:47:21"/>
    <s v="17:51:28"/>
    <x v="73"/>
    <n v="4.12"/>
    <n v="4"/>
    <n v="1"/>
  </r>
  <r>
    <n v="78"/>
    <x v="2"/>
    <s v="01-10-2026"/>
    <x v="1"/>
    <x v="0"/>
    <s v="17:45:44"/>
    <s v="18:00:19"/>
    <s v="18:07:17"/>
    <x v="74"/>
    <n v="6.96"/>
    <n v="5"/>
    <n v="2"/>
  </r>
  <r>
    <n v="79"/>
    <x v="2"/>
    <s v="01-10-2026"/>
    <x v="1"/>
    <x v="2"/>
    <s v="14:41:44"/>
    <s v="15:10:47"/>
    <s v="15:15:40"/>
    <x v="75"/>
    <n v="4.8899999999999997"/>
    <n v="6"/>
    <n v="1"/>
  </r>
  <r>
    <n v="80"/>
    <x v="0"/>
    <s v="01-10-2026"/>
    <x v="1"/>
    <x v="2"/>
    <s v="14:51:44"/>
    <s v="14:53:51"/>
    <s v="14:59:38"/>
    <x v="76"/>
    <n v="5.78"/>
    <n v="1"/>
    <n v="3"/>
  </r>
  <r>
    <n v="81"/>
    <x v="2"/>
    <s v="01-10-2026"/>
    <x v="0"/>
    <x v="0"/>
    <s v="17:58:54"/>
    <s v="18:17:53"/>
    <s v="18:22:04"/>
    <x v="77"/>
    <n v="4.18"/>
    <n v="4"/>
    <n v="1"/>
  </r>
  <r>
    <n v="82"/>
    <x v="2"/>
    <s v="01-10-2026"/>
    <x v="0"/>
    <x v="1"/>
    <s v="19:48:57"/>
    <s v="20:11:19"/>
    <s v="20:15:41"/>
    <x v="78"/>
    <n v="4.3600000000000003"/>
    <n v="8"/>
    <n v="2"/>
  </r>
  <r>
    <n v="83"/>
    <x v="2"/>
    <s v="01-10-2026"/>
    <x v="1"/>
    <x v="2"/>
    <s v="21:28:16"/>
    <s v="22:02:07"/>
    <s v="22:07:29"/>
    <x v="79"/>
    <n v="5.37"/>
    <n v="7"/>
    <n v="1"/>
  </r>
  <r>
    <n v="84"/>
    <x v="3"/>
    <s v="01-10-2026"/>
    <x v="1"/>
    <x v="0"/>
    <s v="17:17:28"/>
    <s v="18:40:27"/>
    <s v="18:49:49"/>
    <x v="80"/>
    <n v="9.3699999999999992"/>
    <n v="9"/>
    <n v="1"/>
  </r>
  <r>
    <n v="85"/>
    <x v="3"/>
    <s v="01-10-2026"/>
    <x v="0"/>
    <x v="1"/>
    <s v="19:20:57"/>
    <s v="19:44:37"/>
    <s v="19:52:09"/>
    <x v="4"/>
    <n v="7.53"/>
    <n v="8"/>
    <n v="3"/>
  </r>
  <r>
    <n v="86"/>
    <x v="0"/>
    <s v="01-10-2026"/>
    <x v="0"/>
    <x v="2"/>
    <s v="17:24:44"/>
    <s v="17:39:33"/>
    <s v="17:44:33"/>
    <x v="81"/>
    <n v="5"/>
    <n v="5"/>
    <n v="1"/>
  </r>
  <r>
    <n v="87"/>
    <x v="1"/>
    <s v="01-10-2026"/>
    <x v="0"/>
    <x v="1"/>
    <s v="20:21:34"/>
    <s v="20:41:47"/>
    <s v="20:48:13"/>
    <x v="82"/>
    <n v="6.44"/>
    <n v="6"/>
    <n v="2"/>
  </r>
  <r>
    <n v="88"/>
    <x v="2"/>
    <s v="01-10-2026"/>
    <x v="0"/>
    <x v="2"/>
    <s v="20:24:57"/>
    <s v="20:31:53"/>
    <s v="20:35:59"/>
    <x v="83"/>
    <n v="4.0999999999999996"/>
    <n v="5"/>
    <n v="3"/>
  </r>
  <r>
    <n v="89"/>
    <x v="0"/>
    <s v="01-10-2026"/>
    <x v="1"/>
    <x v="1"/>
    <s v="12:22:19"/>
    <s v="12:45:14"/>
    <s v="12:51:13"/>
    <x v="84"/>
    <n v="5.98"/>
    <n v="7"/>
    <n v="2"/>
  </r>
  <r>
    <n v="90"/>
    <x v="2"/>
    <s v="01-10-2026"/>
    <x v="0"/>
    <x v="1"/>
    <s v="17:17:27"/>
    <s v="17:26:19"/>
    <s v="17:29:52"/>
    <x v="85"/>
    <n v="3.55"/>
    <n v="4"/>
    <n v="2"/>
  </r>
  <r>
    <n v="91"/>
    <x v="0"/>
    <s v="01-10-2026"/>
    <x v="1"/>
    <x v="1"/>
    <s v="20:46:10"/>
    <s v="21:04:54"/>
    <s v="21:10:05"/>
    <x v="86"/>
    <n v="5.19"/>
    <n v="7"/>
    <n v="2"/>
  </r>
  <r>
    <n v="92"/>
    <x v="1"/>
    <s v="01-10-2026"/>
    <x v="0"/>
    <x v="1"/>
    <s v="12:05:41"/>
    <s v="12:21:42"/>
    <s v="12:28:04"/>
    <x v="87"/>
    <n v="6.37"/>
    <n v="6"/>
    <n v="2"/>
  </r>
  <r>
    <n v="93"/>
    <x v="1"/>
    <s v="01-10-2026"/>
    <x v="1"/>
    <x v="2"/>
    <s v="12:16:24"/>
    <s v="12:28:52"/>
    <s v="12:34:25"/>
    <x v="88"/>
    <n v="5.55"/>
    <n v="5"/>
    <n v="2"/>
  </r>
  <r>
    <n v="94"/>
    <x v="1"/>
    <s v="01-10-2026"/>
    <x v="1"/>
    <x v="1"/>
    <s v="19:48:56"/>
    <s v="20:10:20"/>
    <s v="20:16:14"/>
    <x v="89"/>
    <n v="5.91"/>
    <n v="5"/>
    <n v="2"/>
  </r>
  <r>
    <n v="95"/>
    <x v="3"/>
    <s v="01-10-2026"/>
    <x v="1"/>
    <x v="1"/>
    <s v="13:30:01"/>
    <s v="14:00:41"/>
    <s v="14:09:35"/>
    <x v="90"/>
    <n v="8.9"/>
    <n v="10"/>
    <n v="3"/>
  </r>
  <r>
    <n v="96"/>
    <x v="0"/>
    <s v="01-10-2026"/>
    <x v="1"/>
    <x v="2"/>
    <s v="13:49:41"/>
    <s v="14:02:03"/>
    <s v="14:06:47"/>
    <x v="91"/>
    <n v="4.7300000000000004"/>
    <n v="3"/>
    <n v="1"/>
  </r>
  <r>
    <n v="97"/>
    <x v="0"/>
    <s v="01-10-2026"/>
    <x v="0"/>
    <x v="2"/>
    <s v="12:39:09"/>
    <s v="12:50:22"/>
    <s v="12:53:06"/>
    <x v="92"/>
    <n v="2.73"/>
    <n v="3"/>
    <n v="1"/>
  </r>
  <r>
    <n v="98"/>
    <x v="1"/>
    <s v="01-10-2026"/>
    <x v="1"/>
    <x v="0"/>
    <s v="13:36:13"/>
    <s v="13:45:40"/>
    <s v="13:51:45"/>
    <x v="93"/>
    <n v="6.08"/>
    <n v="3"/>
    <n v="2"/>
  </r>
  <r>
    <n v="99"/>
    <x v="3"/>
    <s v="01-10-2026"/>
    <x v="1"/>
    <x v="2"/>
    <s v="13:49:52"/>
    <s v="14:46:56"/>
    <s v="14:53:43"/>
    <x v="94"/>
    <n v="6.79"/>
    <n v="7"/>
    <n v="1"/>
  </r>
  <r>
    <n v="100"/>
    <x v="3"/>
    <s v="01-10-2026"/>
    <x v="0"/>
    <x v="0"/>
    <s v="12:59:19"/>
    <s v="13:09:46"/>
    <s v="13:15:59"/>
    <x v="95"/>
    <n v="6.22"/>
    <n v="4"/>
    <n v="3"/>
  </r>
  <r>
    <n v="101"/>
    <x v="2"/>
    <s v="01-10-2026"/>
    <x v="1"/>
    <x v="0"/>
    <s v="17:04:37"/>
    <s v="17:15:34"/>
    <s v="17:22:50"/>
    <x v="96"/>
    <n v="7.27"/>
    <n v="7"/>
    <n v="3"/>
  </r>
  <r>
    <n v="102"/>
    <x v="1"/>
    <s v="01-10-2026"/>
    <x v="0"/>
    <x v="0"/>
    <s v="18:54:43"/>
    <s v="19:06:58"/>
    <s v="19:12:17"/>
    <x v="97"/>
    <n v="5.33"/>
    <n v="7"/>
    <n v="3"/>
  </r>
  <r>
    <n v="103"/>
    <x v="0"/>
    <s v="01-10-2026"/>
    <x v="0"/>
    <x v="1"/>
    <s v="20:42:23"/>
    <s v="20:47:23"/>
    <s v="20:50:14"/>
    <x v="98"/>
    <n v="2.84"/>
    <n v="1"/>
    <n v="1"/>
  </r>
  <r>
    <n v="104"/>
    <x v="3"/>
    <s v="01-10-2026"/>
    <x v="0"/>
    <x v="1"/>
    <s v="21:06:27"/>
    <s v="21:37:48"/>
    <s v="21:46:48"/>
    <x v="99"/>
    <n v="9"/>
    <n v="8"/>
    <n v="2"/>
  </r>
  <r>
    <n v="105"/>
    <x v="2"/>
    <s v="01-10-2026"/>
    <x v="0"/>
    <x v="1"/>
    <s v="14:46:33"/>
    <s v="14:53:52"/>
    <s v="15:00:03"/>
    <x v="100"/>
    <n v="6.18"/>
    <n v="4"/>
    <n v="3"/>
  </r>
  <r>
    <n v="106"/>
    <x v="3"/>
    <s v="01-10-2026"/>
    <x v="1"/>
    <x v="1"/>
    <s v="20:52:46"/>
    <s v="21:27:11"/>
    <s v="21:36:02"/>
    <x v="101"/>
    <n v="8.86"/>
    <n v="11"/>
    <n v="3"/>
  </r>
  <r>
    <n v="107"/>
    <x v="3"/>
    <s v="01-10-2026"/>
    <x v="1"/>
    <x v="2"/>
    <s v="13:17:56"/>
    <s v="13:31:23"/>
    <s v="13:39:45"/>
    <x v="102"/>
    <n v="8.3800000000000008"/>
    <n v="4"/>
    <n v="2"/>
  </r>
  <r>
    <n v="108"/>
    <x v="1"/>
    <s v="01-10-2026"/>
    <x v="1"/>
    <x v="0"/>
    <s v="20:21:01"/>
    <s v="20:42:53"/>
    <s v="20:49:17"/>
    <x v="103"/>
    <n v="6.39"/>
    <n v="7"/>
    <n v="2"/>
  </r>
  <r>
    <n v="109"/>
    <x v="3"/>
    <s v="01-10-2026"/>
    <x v="0"/>
    <x v="1"/>
    <s v="17:22:51"/>
    <s v="17:43:35"/>
    <s v="17:51:56"/>
    <x v="104"/>
    <n v="8.35"/>
    <n v="4"/>
    <n v="2"/>
  </r>
  <r>
    <n v="110"/>
    <x v="3"/>
    <s v="01-10-2026"/>
    <x v="1"/>
    <x v="0"/>
    <s v="18:35:00"/>
    <s v="18:59:40"/>
    <s v="19:09:10"/>
    <x v="105"/>
    <n v="9.5"/>
    <n v="8"/>
    <n v="3"/>
  </r>
  <r>
    <n v="111"/>
    <x v="1"/>
    <s v="01-10-2026"/>
    <x v="0"/>
    <x v="2"/>
    <s v="20:31:35"/>
    <s v="20:49:28"/>
    <s v="20:54:35"/>
    <x v="106"/>
    <n v="5.12"/>
    <n v="4"/>
    <n v="1"/>
  </r>
  <r>
    <n v="112"/>
    <x v="2"/>
    <s v="01-10-2026"/>
    <x v="1"/>
    <x v="1"/>
    <s v="12:05:18"/>
    <s v="13:08:55"/>
    <s v="13:15:18"/>
    <x v="107"/>
    <n v="6.37"/>
    <n v="10"/>
    <n v="1"/>
  </r>
  <r>
    <n v="113"/>
    <x v="2"/>
    <s v="01-10-2026"/>
    <x v="0"/>
    <x v="1"/>
    <s v="19:30:35"/>
    <s v="19:41:01"/>
    <s v="19:46:15"/>
    <x v="108"/>
    <n v="5.23"/>
    <n v="6"/>
    <n v="3"/>
  </r>
  <r>
    <n v="114"/>
    <x v="3"/>
    <s v="01-10-2026"/>
    <x v="1"/>
    <x v="0"/>
    <s v="19:22:44"/>
    <s v="19:48:05"/>
    <s v="19:58:20"/>
    <x v="109"/>
    <n v="10.25"/>
    <n v="6"/>
    <n v="2"/>
  </r>
  <r>
    <n v="115"/>
    <x v="3"/>
    <s v="01-10-2026"/>
    <x v="1"/>
    <x v="1"/>
    <s v="17:07:46"/>
    <s v="19:10:04"/>
    <s v="19:18:16"/>
    <x v="110"/>
    <n v="8.2100000000000009"/>
    <n v="12"/>
    <n v="1"/>
  </r>
  <r>
    <n v="116"/>
    <x v="3"/>
    <s v="01-10-2026"/>
    <x v="0"/>
    <x v="0"/>
    <s v="14:12:13"/>
    <s v="14:27:17"/>
    <s v="14:35:49"/>
    <x v="111"/>
    <n v="8.5399999999999991"/>
    <n v="6"/>
    <n v="3"/>
  </r>
  <r>
    <n v="117"/>
    <x v="2"/>
    <s v="01-10-2026"/>
    <x v="1"/>
    <x v="0"/>
    <s v="18:06:53"/>
    <s v="19:11:48"/>
    <s v="19:18:07"/>
    <x v="112"/>
    <n v="6.31"/>
    <n v="12"/>
    <n v="1"/>
  </r>
  <r>
    <n v="118"/>
    <x v="3"/>
    <s v="01-10-2026"/>
    <x v="0"/>
    <x v="1"/>
    <s v="14:19:00"/>
    <s v="14:30:10"/>
    <s v="14:37:25"/>
    <x v="113"/>
    <n v="7.24"/>
    <n v="5"/>
    <n v="3"/>
  </r>
  <r>
    <n v="119"/>
    <x v="1"/>
    <s v="01-10-2026"/>
    <x v="1"/>
    <x v="2"/>
    <s v="12:35:18"/>
    <s v="12:47:45"/>
    <s v="12:52:30"/>
    <x v="114"/>
    <n v="4.74"/>
    <n v="5"/>
    <n v="3"/>
  </r>
  <r>
    <n v="120"/>
    <x v="1"/>
    <s v="01-10-2026"/>
    <x v="1"/>
    <x v="2"/>
    <s v="12:36:18"/>
    <s v="12:54:25"/>
    <s v="12:59:13"/>
    <x v="115"/>
    <n v="4.8"/>
    <n v="7"/>
    <n v="2"/>
  </r>
  <r>
    <n v="121"/>
    <x v="2"/>
    <s v="01-10-2026"/>
    <x v="1"/>
    <x v="1"/>
    <s v="14:03:16"/>
    <s v="14:30:21"/>
    <s v="14:36:01"/>
    <x v="116"/>
    <n v="5.67"/>
    <n v="8"/>
    <n v="2"/>
  </r>
  <r>
    <n v="122"/>
    <x v="0"/>
    <s v="01-10-2026"/>
    <x v="0"/>
    <x v="1"/>
    <s v="21:04:36"/>
    <s v="21:14:12"/>
    <s v="21:19:41"/>
    <x v="117"/>
    <n v="5.49"/>
    <n v="4"/>
    <n v="3"/>
  </r>
  <r>
    <n v="123"/>
    <x v="0"/>
    <s v="01-10-2026"/>
    <x v="0"/>
    <x v="2"/>
    <s v="18:05:15"/>
    <s v="18:16:34"/>
    <s v="18:21:09"/>
    <x v="118"/>
    <n v="4.58"/>
    <n v="3"/>
    <n v="1"/>
  </r>
  <r>
    <n v="124"/>
    <x v="2"/>
    <s v="01-10-2026"/>
    <x v="0"/>
    <x v="0"/>
    <s v="20:28:58"/>
    <s v="20:37:11"/>
    <s v="20:40:50"/>
    <x v="119"/>
    <n v="3.65"/>
    <n v="3"/>
    <n v="2"/>
  </r>
  <r>
    <n v="125"/>
    <x v="3"/>
    <s v="01-10-2026"/>
    <x v="1"/>
    <x v="1"/>
    <s v="12:39:47"/>
    <s v="14:22:13"/>
    <s v="14:31:18"/>
    <x v="120"/>
    <n v="9.08"/>
    <n v="10"/>
    <n v="1"/>
  </r>
  <r>
    <n v="126"/>
    <x v="1"/>
    <s v="01-10-2026"/>
    <x v="0"/>
    <x v="1"/>
    <s v="13:10:15"/>
    <s v="13:46:22"/>
    <s v="13:54:04"/>
    <x v="121"/>
    <n v="7.7"/>
    <n v="6"/>
    <n v="1"/>
  </r>
  <r>
    <n v="127"/>
    <x v="0"/>
    <s v="01-10-2026"/>
    <x v="0"/>
    <x v="2"/>
    <s v="20:28:44"/>
    <s v="20:41:18"/>
    <s v="20:45:27"/>
    <x v="122"/>
    <n v="4.1500000000000004"/>
    <n v="9"/>
    <n v="3"/>
  </r>
  <r>
    <n v="128"/>
    <x v="2"/>
    <s v="01-10-2026"/>
    <x v="1"/>
    <x v="2"/>
    <s v="17:18:45"/>
    <s v="17:25:42"/>
    <s v="17:30:39"/>
    <x v="123"/>
    <n v="4.95"/>
    <n v="3"/>
    <n v="2"/>
  </r>
  <r>
    <n v="129"/>
    <x v="2"/>
    <s v="01-10-2026"/>
    <x v="0"/>
    <x v="0"/>
    <s v="17:59:16"/>
    <s v="18:09:41"/>
    <s v="18:12:48"/>
    <x v="124"/>
    <n v="3.11"/>
    <n v="6"/>
    <n v="3"/>
  </r>
  <r>
    <n v="130"/>
    <x v="1"/>
    <s v="01-10-2026"/>
    <x v="1"/>
    <x v="2"/>
    <s v="17:41:09"/>
    <s v="18:00:51"/>
    <s v="18:06:18"/>
    <x v="125"/>
    <n v="5.45"/>
    <n v="7"/>
    <n v="2"/>
  </r>
  <r>
    <n v="131"/>
    <x v="1"/>
    <s v="01-10-2026"/>
    <x v="0"/>
    <x v="2"/>
    <s v="14:50:19"/>
    <s v="15:00:55"/>
    <s v="15:04:23"/>
    <x v="126"/>
    <n v="3.47"/>
    <n v="6"/>
    <n v="3"/>
  </r>
  <r>
    <n v="132"/>
    <x v="3"/>
    <s v="01-10-2026"/>
    <x v="1"/>
    <x v="2"/>
    <s v="21:44:19"/>
    <s v="21:55:16"/>
    <s v="22:02:32"/>
    <x v="127"/>
    <n v="7.27"/>
    <n v="4"/>
    <n v="3"/>
  </r>
  <r>
    <n v="133"/>
    <x v="2"/>
    <s v="01-10-2026"/>
    <x v="1"/>
    <x v="0"/>
    <s v="21:28:05"/>
    <s v="21:29:43"/>
    <s v="21:33:12"/>
    <x v="128"/>
    <n v="3.48"/>
    <n v="1"/>
    <n v="3"/>
  </r>
  <r>
    <n v="134"/>
    <x v="0"/>
    <s v="01-10-2026"/>
    <x v="1"/>
    <x v="0"/>
    <s v="19:38:16"/>
    <s v="20:13:02"/>
    <s v="20:18:52"/>
    <x v="129"/>
    <n v="5.82"/>
    <n v="7"/>
    <n v="1"/>
  </r>
  <r>
    <n v="135"/>
    <x v="0"/>
    <s v="01-10-2026"/>
    <x v="0"/>
    <x v="0"/>
    <s v="12:48:43"/>
    <s v="12:50:49"/>
    <s v="12:55:43"/>
    <x v="130"/>
    <n v="4.9000000000000004"/>
    <n v="2"/>
    <n v="2"/>
  </r>
  <r>
    <n v="136"/>
    <x v="0"/>
    <s v="01-10-2026"/>
    <x v="0"/>
    <x v="1"/>
    <s v="21:58:17"/>
    <s v="22:26:56"/>
    <s v="22:31:16"/>
    <x v="131"/>
    <n v="4.34"/>
    <n v="6"/>
    <n v="1"/>
  </r>
  <r>
    <n v="137"/>
    <x v="2"/>
    <s v="01-10-2026"/>
    <x v="1"/>
    <x v="2"/>
    <s v="21:22:26"/>
    <s v="21:25:21"/>
    <s v="21:31:35"/>
    <x v="132"/>
    <n v="6.24"/>
    <n v="2"/>
    <n v="2"/>
  </r>
  <r>
    <n v="138"/>
    <x v="3"/>
    <s v="01-10-2026"/>
    <x v="0"/>
    <x v="2"/>
    <s v="19:26:44"/>
    <s v="20:02:46"/>
    <s v="20:09:59"/>
    <x v="133"/>
    <n v="7.21"/>
    <n v="11"/>
    <n v="2"/>
  </r>
  <r>
    <n v="139"/>
    <x v="3"/>
    <s v="01-10-2026"/>
    <x v="1"/>
    <x v="0"/>
    <s v="12:29:05"/>
    <s v="13:02:34"/>
    <s v="13:12:06"/>
    <x v="134"/>
    <n v="9.5299999999999994"/>
    <n v="8"/>
    <n v="2"/>
  </r>
  <r>
    <n v="140"/>
    <x v="3"/>
    <s v="01-10-2026"/>
    <x v="1"/>
    <x v="2"/>
    <s v="20:55:32"/>
    <s v="21:26:03"/>
    <s v="21:31:26"/>
    <x v="135"/>
    <n v="5.38"/>
    <n v="4"/>
    <n v="1"/>
  </r>
  <r>
    <n v="141"/>
    <x v="2"/>
    <s v="01-10-2026"/>
    <x v="1"/>
    <x v="2"/>
    <s v="17:33:23"/>
    <s v="17:39:56"/>
    <s v="17:44:41"/>
    <x v="136"/>
    <n v="4.75"/>
    <n v="5"/>
    <n v="3"/>
  </r>
  <r>
    <n v="142"/>
    <x v="2"/>
    <s v="01-10-2026"/>
    <x v="1"/>
    <x v="2"/>
    <s v="17:17:35"/>
    <s v="17:41:15"/>
    <s v="17:46:05"/>
    <x v="4"/>
    <n v="4.83"/>
    <n v="5"/>
    <n v="1"/>
  </r>
  <r>
    <n v="143"/>
    <x v="3"/>
    <s v="01-10-2026"/>
    <x v="1"/>
    <x v="0"/>
    <s v="21:07:01"/>
    <s v="21:20:28"/>
    <s v="21:29:09"/>
    <x v="102"/>
    <n v="8.69"/>
    <n v="5"/>
    <n v="3"/>
  </r>
  <r>
    <n v="144"/>
    <x v="1"/>
    <s v="01-10-2026"/>
    <x v="0"/>
    <x v="1"/>
    <s v="12:35:26"/>
    <s v="13:06:47"/>
    <s v="13:13:33"/>
    <x v="137"/>
    <n v="6.77"/>
    <n v="5"/>
    <n v="1"/>
  </r>
  <r>
    <n v="145"/>
    <x v="1"/>
    <s v="01-10-2026"/>
    <x v="0"/>
    <x v="1"/>
    <s v="13:41:53"/>
    <s v="13:56:18"/>
    <s v="14:02:30"/>
    <x v="138"/>
    <n v="6.21"/>
    <n v="2"/>
    <n v="1"/>
  </r>
  <r>
    <n v="146"/>
    <x v="2"/>
    <s v="01-10-2026"/>
    <x v="1"/>
    <x v="0"/>
    <s v="18:26:53"/>
    <s v="18:52:19"/>
    <s v="19:00:01"/>
    <x v="139"/>
    <n v="7.7"/>
    <n v="9"/>
    <n v="2"/>
  </r>
  <r>
    <n v="147"/>
    <x v="2"/>
    <s v="01-10-2026"/>
    <x v="0"/>
    <x v="1"/>
    <s v="14:24:12"/>
    <s v="14:26:41"/>
    <s v="14:31:24"/>
    <x v="140"/>
    <n v="4.72"/>
    <n v="2"/>
    <n v="3"/>
  </r>
  <r>
    <n v="148"/>
    <x v="1"/>
    <s v="01-10-2026"/>
    <x v="0"/>
    <x v="1"/>
    <s v="20:21:59"/>
    <s v="20:36:11"/>
    <s v="20:42:47"/>
    <x v="141"/>
    <n v="6.6"/>
    <n v="8"/>
    <n v="3"/>
  </r>
  <r>
    <n v="149"/>
    <x v="3"/>
    <s v="01-10-2026"/>
    <x v="0"/>
    <x v="1"/>
    <s v="18:53:37"/>
    <s v="19:10:07"/>
    <s v="19:16:54"/>
    <x v="142"/>
    <n v="6.78"/>
    <n v="6"/>
    <n v="3"/>
  </r>
  <r>
    <n v="150"/>
    <x v="2"/>
    <s v="01-10-2026"/>
    <x v="0"/>
    <x v="1"/>
    <s v="21:22:21"/>
    <s v="21:34:49"/>
    <s v="21:41:04"/>
    <x v="143"/>
    <n v="6.25"/>
    <n v="7"/>
    <n v="3"/>
  </r>
  <r>
    <n v="151"/>
    <x v="2"/>
    <s v="01-10-2026"/>
    <x v="1"/>
    <x v="1"/>
    <s v="17:44:15"/>
    <s v="18:05:10"/>
    <s v="18:12:48"/>
    <x v="144"/>
    <n v="7.62"/>
    <n v="9"/>
    <n v="3"/>
  </r>
  <r>
    <n v="152"/>
    <x v="2"/>
    <s v="01-10-2026"/>
    <x v="0"/>
    <x v="1"/>
    <s v="12:20:47"/>
    <s v="12:33:44"/>
    <s v="12:40:06"/>
    <x v="145"/>
    <n v="6.37"/>
    <n v="5"/>
    <n v="2"/>
  </r>
  <r>
    <n v="153"/>
    <x v="2"/>
    <s v="01-10-2026"/>
    <x v="1"/>
    <x v="0"/>
    <s v="14:31:02"/>
    <s v="15:04:42"/>
    <s v="15:10:08"/>
    <x v="146"/>
    <n v="5.43"/>
    <n v="6"/>
    <n v="1"/>
  </r>
  <r>
    <n v="154"/>
    <x v="3"/>
    <s v="01-10-2026"/>
    <x v="0"/>
    <x v="1"/>
    <s v="13:33:58"/>
    <s v="14:07:53"/>
    <s v="14:15:03"/>
    <x v="147"/>
    <n v="7.17"/>
    <n v="8"/>
    <n v="2"/>
  </r>
  <r>
    <n v="155"/>
    <x v="0"/>
    <s v="01-10-2026"/>
    <x v="0"/>
    <x v="1"/>
    <s v="14:04:30"/>
    <s v="14:19:25"/>
    <s v="14:25:11"/>
    <x v="148"/>
    <n v="5.77"/>
    <n v="6"/>
    <n v="2"/>
  </r>
  <r>
    <n v="156"/>
    <x v="3"/>
    <s v="01-10-2026"/>
    <x v="1"/>
    <x v="0"/>
    <s v="13:54:21"/>
    <s v="14:19:21"/>
    <s v="14:28:22"/>
    <x v="149"/>
    <n v="9.02"/>
    <n v="8"/>
    <n v="3"/>
  </r>
  <r>
    <n v="157"/>
    <x v="2"/>
    <s v="01-10-2026"/>
    <x v="1"/>
    <x v="0"/>
    <s v="21:55:34"/>
    <s v="22:06:19"/>
    <s v="22:12:17"/>
    <x v="150"/>
    <n v="5.97"/>
    <n v="2"/>
    <n v="1"/>
  </r>
  <r>
    <n v="158"/>
    <x v="0"/>
    <s v="01-10-2026"/>
    <x v="0"/>
    <x v="0"/>
    <s v="18:14:47"/>
    <s v="18:24:12"/>
    <s v="18:28:34"/>
    <x v="151"/>
    <n v="4.37"/>
    <n v="2"/>
    <n v="1"/>
  </r>
  <r>
    <n v="159"/>
    <x v="2"/>
    <s v="01-10-2026"/>
    <x v="0"/>
    <x v="0"/>
    <s v="13:28:10"/>
    <s v="13:37:29"/>
    <s v="13:41:03"/>
    <x v="152"/>
    <n v="3.56"/>
    <n v="5"/>
    <n v="3"/>
  </r>
  <r>
    <n v="160"/>
    <x v="3"/>
    <s v="01-10-2026"/>
    <x v="0"/>
    <x v="2"/>
    <s v="19:50:03"/>
    <s v="20:14:06"/>
    <s v="20:21:06"/>
    <x v="153"/>
    <n v="7"/>
    <n v="7"/>
    <n v="2"/>
  </r>
  <r>
    <n v="161"/>
    <x v="3"/>
    <s v="01-10-2026"/>
    <x v="1"/>
    <x v="1"/>
    <s v="14:15:33"/>
    <s v="15:06:33"/>
    <s v="15:17:44"/>
    <x v="154"/>
    <n v="11.19"/>
    <n v="10"/>
    <n v="2"/>
  </r>
  <r>
    <n v="162"/>
    <x v="1"/>
    <s v="01-10-2026"/>
    <x v="0"/>
    <x v="2"/>
    <s v="13:39:55"/>
    <s v="13:47:17"/>
    <s v="13:53:25"/>
    <x v="155"/>
    <n v="6.13"/>
    <n v="4"/>
    <n v="2"/>
  </r>
  <r>
    <n v="163"/>
    <x v="1"/>
    <s v="01-10-2026"/>
    <x v="1"/>
    <x v="0"/>
    <s v="14:14:29"/>
    <s v="14:27:23"/>
    <s v="14:34:00"/>
    <x v="156"/>
    <n v="6.63"/>
    <n v="6"/>
    <n v="3"/>
  </r>
  <r>
    <n v="164"/>
    <x v="3"/>
    <s v="01-10-2026"/>
    <x v="1"/>
    <x v="1"/>
    <s v="12:57:51"/>
    <s v="13:53:15"/>
    <s v="14:04:21"/>
    <x v="157"/>
    <n v="11.1"/>
    <n v="11"/>
    <n v="2"/>
  </r>
  <r>
    <n v="165"/>
    <x v="3"/>
    <s v="01-10-2026"/>
    <x v="0"/>
    <x v="2"/>
    <s v="21:22:37"/>
    <s v="21:50:13"/>
    <s v="21:55:17"/>
    <x v="158"/>
    <n v="5.0599999999999996"/>
    <n v="9"/>
    <n v="2"/>
  </r>
  <r>
    <n v="166"/>
    <x v="2"/>
    <s v="01-10-2026"/>
    <x v="1"/>
    <x v="1"/>
    <s v="18:12:24"/>
    <s v="18:31:22"/>
    <s v="18:36:54"/>
    <x v="159"/>
    <n v="5.54"/>
    <n v="6"/>
    <n v="2"/>
  </r>
  <r>
    <n v="167"/>
    <x v="0"/>
    <s v="01-10-2026"/>
    <x v="0"/>
    <x v="1"/>
    <s v="19:36:18"/>
    <s v="19:45:10"/>
    <s v="19:48:12"/>
    <x v="85"/>
    <n v="3.02"/>
    <n v="7"/>
    <n v="3"/>
  </r>
  <r>
    <n v="168"/>
    <x v="3"/>
    <s v="01-10-2026"/>
    <x v="0"/>
    <x v="0"/>
    <s v="20:17:00"/>
    <s v="20:39:03"/>
    <s v="20:46:55"/>
    <x v="160"/>
    <n v="7.87"/>
    <n v="9"/>
    <n v="3"/>
  </r>
  <r>
    <n v="169"/>
    <x v="0"/>
    <s v="01-10-2026"/>
    <x v="1"/>
    <x v="1"/>
    <s v="17:38:51"/>
    <s v="17:47:13"/>
    <s v="17:52:35"/>
    <x v="161"/>
    <n v="5.36"/>
    <n v="4"/>
    <n v="2"/>
  </r>
  <r>
    <n v="170"/>
    <x v="1"/>
    <s v="01-10-2026"/>
    <x v="0"/>
    <x v="0"/>
    <s v="18:43:48"/>
    <s v="18:53:15"/>
    <s v="18:56:50"/>
    <x v="162"/>
    <n v="3.59"/>
    <n v="6"/>
    <n v="3"/>
  </r>
  <r>
    <n v="171"/>
    <x v="1"/>
    <s v="01-10-2026"/>
    <x v="0"/>
    <x v="0"/>
    <s v="12:19:50"/>
    <s v="12:30:21"/>
    <s v="12:35:45"/>
    <x v="163"/>
    <n v="5.4"/>
    <n v="3"/>
    <n v="2"/>
  </r>
  <r>
    <n v="172"/>
    <x v="0"/>
    <s v="01-10-2026"/>
    <x v="1"/>
    <x v="0"/>
    <s v="14:05:58"/>
    <s v="14:15:58"/>
    <s v="14:22:09"/>
    <x v="164"/>
    <n v="6.19"/>
    <n v="4"/>
    <n v="2"/>
  </r>
  <r>
    <n v="173"/>
    <x v="3"/>
    <s v="01-10-2026"/>
    <x v="1"/>
    <x v="2"/>
    <s v="17:08:50"/>
    <s v="17:31:21"/>
    <s v="17:38:51"/>
    <x v="165"/>
    <n v="7.5"/>
    <n v="8"/>
    <n v="3"/>
  </r>
  <r>
    <n v="174"/>
    <x v="3"/>
    <s v="01-10-2026"/>
    <x v="1"/>
    <x v="2"/>
    <s v="18:58:52"/>
    <s v="19:28:49"/>
    <s v="19:38:46"/>
    <x v="166"/>
    <n v="9.9499999999999993"/>
    <n v="8"/>
    <n v="2"/>
  </r>
  <r>
    <n v="175"/>
    <x v="3"/>
    <s v="01-10-2026"/>
    <x v="1"/>
    <x v="2"/>
    <s v="21:04:09"/>
    <s v="21:52:47"/>
    <s v="22:02:12"/>
    <x v="167"/>
    <n v="9.42"/>
    <n v="6"/>
    <n v="1"/>
  </r>
  <r>
    <n v="176"/>
    <x v="2"/>
    <s v="01-10-2026"/>
    <x v="1"/>
    <x v="2"/>
    <s v="20:00:16"/>
    <s v="20:08:39"/>
    <s v="20:15:05"/>
    <x v="168"/>
    <n v="6.44"/>
    <n v="6"/>
    <n v="3"/>
  </r>
  <r>
    <n v="177"/>
    <x v="0"/>
    <s v="01-10-2026"/>
    <x v="1"/>
    <x v="1"/>
    <s v="18:37:24"/>
    <s v="18:47:21"/>
    <s v="18:54:26"/>
    <x v="169"/>
    <n v="7.09"/>
    <n v="5"/>
    <n v="3"/>
  </r>
  <r>
    <n v="178"/>
    <x v="3"/>
    <s v="01-10-2026"/>
    <x v="0"/>
    <x v="0"/>
    <s v="17:30:01"/>
    <s v="17:38:20"/>
    <s v="17:45:05"/>
    <x v="170"/>
    <n v="6.76"/>
    <n v="4"/>
    <n v="3"/>
  </r>
  <r>
    <n v="179"/>
    <x v="3"/>
    <s v="01-10-2026"/>
    <x v="0"/>
    <x v="0"/>
    <s v="13:40:52"/>
    <s v="14:01:05"/>
    <s v="14:08:40"/>
    <x v="171"/>
    <n v="7.58"/>
    <n v="5"/>
    <n v="2"/>
  </r>
  <r>
    <n v="180"/>
    <x v="3"/>
    <s v="01-10-2026"/>
    <x v="1"/>
    <x v="2"/>
    <s v="14:02:02"/>
    <s v="14:41:52"/>
    <s v="14:49:45"/>
    <x v="172"/>
    <n v="7.88"/>
    <n v="10"/>
    <n v="2"/>
  </r>
  <r>
    <n v="181"/>
    <x v="2"/>
    <s v="01-10-2026"/>
    <x v="0"/>
    <x v="2"/>
    <s v="17:56:34"/>
    <s v="18:08:23"/>
    <s v="18:11:29"/>
    <x v="173"/>
    <n v="3.1"/>
    <n v="3"/>
    <n v="1"/>
  </r>
  <r>
    <n v="182"/>
    <x v="2"/>
    <s v="01-10-2026"/>
    <x v="1"/>
    <x v="1"/>
    <s v="20:37:47"/>
    <s v="20:54:09"/>
    <s v="21:00:32"/>
    <x v="174"/>
    <n v="6.38"/>
    <n v="7"/>
    <n v="3"/>
  </r>
  <r>
    <n v="183"/>
    <x v="1"/>
    <s v="01-10-2026"/>
    <x v="1"/>
    <x v="0"/>
    <s v="13:53:31"/>
    <s v="14:04:19"/>
    <s v="14:09:38"/>
    <x v="175"/>
    <n v="5.32"/>
    <n v="6"/>
    <n v="3"/>
  </r>
  <r>
    <n v="184"/>
    <x v="2"/>
    <s v="01-10-2026"/>
    <x v="1"/>
    <x v="2"/>
    <s v="19:13:28"/>
    <s v="19:21:24"/>
    <s v="19:24:03"/>
    <x v="176"/>
    <n v="2.65"/>
    <n v="4"/>
    <n v="2"/>
  </r>
  <r>
    <n v="185"/>
    <x v="1"/>
    <s v="01-10-2026"/>
    <x v="1"/>
    <x v="2"/>
    <s v="19:34:57"/>
    <s v="19:48:41"/>
    <s v="19:55:15"/>
    <x v="177"/>
    <n v="6.57"/>
    <n v="8"/>
    <n v="3"/>
  </r>
  <r>
    <n v="186"/>
    <x v="3"/>
    <s v="01-10-2026"/>
    <x v="0"/>
    <x v="1"/>
    <s v="18:12:07"/>
    <s v="18:50:13"/>
    <s v="18:58:50"/>
    <x v="178"/>
    <n v="8.6199999999999992"/>
    <n v="9"/>
    <n v="2"/>
  </r>
  <r>
    <n v="187"/>
    <x v="0"/>
    <s v="01-10-2026"/>
    <x v="0"/>
    <x v="0"/>
    <s v="12:03:50"/>
    <s v="12:14:08"/>
    <s v="12:18:13"/>
    <x v="179"/>
    <n v="4.09"/>
    <n v="7"/>
    <n v="2"/>
  </r>
  <r>
    <n v="188"/>
    <x v="1"/>
    <s v="01-10-2026"/>
    <x v="0"/>
    <x v="0"/>
    <s v="17:04:53"/>
    <s v="17:08:24"/>
    <s v="17:14:06"/>
    <x v="180"/>
    <n v="5.7"/>
    <n v="2"/>
    <n v="3"/>
  </r>
  <r>
    <n v="189"/>
    <x v="1"/>
    <s v="01-10-2026"/>
    <x v="0"/>
    <x v="2"/>
    <s v="19:49:09"/>
    <s v="19:54:50"/>
    <s v="19:59:56"/>
    <x v="181"/>
    <n v="5.0999999999999996"/>
    <n v="5"/>
    <n v="3"/>
  </r>
  <r>
    <n v="190"/>
    <x v="0"/>
    <s v="01-10-2026"/>
    <x v="1"/>
    <x v="2"/>
    <s v="14:34:16"/>
    <s v="14:46:32"/>
    <s v="14:52:14"/>
    <x v="182"/>
    <n v="5.69"/>
    <n v="3"/>
    <n v="1"/>
  </r>
  <r>
    <n v="191"/>
    <x v="0"/>
    <s v="01-10-2026"/>
    <x v="0"/>
    <x v="2"/>
    <s v="12:22:50"/>
    <s v="12:28:59"/>
    <s v="12:32:04"/>
    <x v="183"/>
    <n v="3.09"/>
    <n v="2"/>
    <n v="1"/>
  </r>
  <r>
    <n v="192"/>
    <x v="3"/>
    <s v="01-10-2026"/>
    <x v="0"/>
    <x v="2"/>
    <s v="18:03:08"/>
    <s v="18:12:02"/>
    <s v="18:18:32"/>
    <x v="184"/>
    <n v="6.5"/>
    <n v="4"/>
    <n v="3"/>
  </r>
  <r>
    <n v="193"/>
    <x v="2"/>
    <s v="01-10-2026"/>
    <x v="0"/>
    <x v="0"/>
    <s v="13:30:28"/>
    <s v="13:44:04"/>
    <s v="13:49:40"/>
    <x v="185"/>
    <n v="5.59"/>
    <n v="6"/>
    <n v="2"/>
  </r>
  <r>
    <n v="194"/>
    <x v="0"/>
    <s v="01-10-2026"/>
    <x v="1"/>
    <x v="0"/>
    <s v="17:39:02"/>
    <s v="17:47:50"/>
    <s v="17:50:04"/>
    <x v="186"/>
    <n v="2.2400000000000002"/>
    <n v="6"/>
    <n v="3"/>
  </r>
  <r>
    <n v="195"/>
    <x v="3"/>
    <s v="01-10-2026"/>
    <x v="1"/>
    <x v="0"/>
    <s v="12:03:30"/>
    <s v="12:25:54"/>
    <s v="12:35:27"/>
    <x v="187"/>
    <n v="9.5500000000000007"/>
    <n v="5"/>
    <n v="2"/>
  </r>
  <r>
    <n v="196"/>
    <x v="2"/>
    <s v="01-10-2026"/>
    <x v="0"/>
    <x v="1"/>
    <s v="21:04:57"/>
    <s v="21:23:57"/>
    <s v="21:29:07"/>
    <x v="188"/>
    <n v="5.16"/>
    <n v="4"/>
    <n v="1"/>
  </r>
  <r>
    <n v="197"/>
    <x v="3"/>
    <s v="01-10-2026"/>
    <x v="0"/>
    <x v="2"/>
    <s v="14:17:39"/>
    <s v="14:38:24"/>
    <s v="14:46:44"/>
    <x v="189"/>
    <n v="8.33"/>
    <n v="10"/>
    <n v="3"/>
  </r>
  <r>
    <n v="198"/>
    <x v="3"/>
    <s v="01-10-2026"/>
    <x v="1"/>
    <x v="0"/>
    <s v="18:29:32"/>
    <s v="18:57:38"/>
    <s v="19:06:40"/>
    <x v="190"/>
    <n v="9.0299999999999994"/>
    <n v="10"/>
    <n v="3"/>
  </r>
  <r>
    <n v="199"/>
    <x v="2"/>
    <s v="01-10-2026"/>
    <x v="0"/>
    <x v="0"/>
    <s v="13:54:41"/>
    <s v="14:00:16"/>
    <s v="14:05:03"/>
    <x v="191"/>
    <n v="4.78"/>
    <n v="4"/>
    <n v="3"/>
  </r>
  <r>
    <n v="200"/>
    <x v="1"/>
    <s v="01-10-2026"/>
    <x v="1"/>
    <x v="1"/>
    <s v="17:26:21"/>
    <s v="17:27:50"/>
    <s v="17:33:53"/>
    <x v="192"/>
    <n v="6.05"/>
    <n v="1"/>
    <n v="2"/>
  </r>
  <r>
    <n v="201"/>
    <x v="2"/>
    <s v="01-10-2026"/>
    <x v="1"/>
    <x v="0"/>
    <s v="13:20:27"/>
    <s v="13:36:01"/>
    <s v="13:42:16"/>
    <x v="193"/>
    <n v="6.24"/>
    <n v="5"/>
    <n v="2"/>
  </r>
  <r>
    <n v="202"/>
    <x v="3"/>
    <s v="01-10-2026"/>
    <x v="1"/>
    <x v="2"/>
    <s v="21:04:05"/>
    <s v="21:36:11"/>
    <s v="21:45:18"/>
    <x v="194"/>
    <n v="9.11"/>
    <n v="4"/>
    <n v="1"/>
  </r>
  <r>
    <n v="203"/>
    <x v="0"/>
    <s v="01-10-2026"/>
    <x v="1"/>
    <x v="2"/>
    <s v="19:51:08"/>
    <s v="19:55:55"/>
    <s v="20:00:41"/>
    <x v="195"/>
    <n v="4.76"/>
    <n v="2"/>
    <n v="3"/>
  </r>
  <r>
    <n v="204"/>
    <x v="0"/>
    <s v="01-10-2026"/>
    <x v="1"/>
    <x v="0"/>
    <s v="13:26:22"/>
    <s v="13:34:30"/>
    <s v="13:39:36"/>
    <x v="196"/>
    <n v="5.0999999999999996"/>
    <n v="5"/>
    <n v="3"/>
  </r>
  <r>
    <n v="205"/>
    <x v="2"/>
    <s v="01-10-2026"/>
    <x v="0"/>
    <x v="1"/>
    <s v="18:22:06"/>
    <s v="18:32:40"/>
    <s v="18:35:54"/>
    <x v="197"/>
    <n v="3.23"/>
    <n v="7"/>
    <n v="3"/>
  </r>
  <r>
    <n v="206"/>
    <x v="1"/>
    <s v="01-10-2026"/>
    <x v="0"/>
    <x v="0"/>
    <s v="21:14:54"/>
    <s v="21:41:14"/>
    <s v="21:47:13"/>
    <x v="198"/>
    <n v="5.99"/>
    <n v="5"/>
    <n v="1"/>
  </r>
  <r>
    <n v="207"/>
    <x v="3"/>
    <s v="01-10-2026"/>
    <x v="1"/>
    <x v="2"/>
    <s v="18:36:14"/>
    <s v="19:30:41"/>
    <s v="19:38:24"/>
    <x v="199"/>
    <n v="7.71"/>
    <n v="14"/>
    <n v="2"/>
  </r>
  <r>
    <n v="208"/>
    <x v="0"/>
    <s v="01-10-2026"/>
    <x v="1"/>
    <x v="2"/>
    <s v="14:17:44"/>
    <s v="14:29:35"/>
    <s v="14:33:51"/>
    <x v="200"/>
    <n v="4.28"/>
    <n v="7"/>
    <n v="2"/>
  </r>
  <r>
    <n v="209"/>
    <x v="3"/>
    <s v="01-10-2026"/>
    <x v="1"/>
    <x v="2"/>
    <s v="14:55:09"/>
    <s v="15:14:35"/>
    <s v="15:21:27"/>
    <x v="201"/>
    <n v="6.87"/>
    <n v="7"/>
    <n v="3"/>
  </r>
  <r>
    <n v="210"/>
    <x v="2"/>
    <s v="01-10-2026"/>
    <x v="0"/>
    <x v="2"/>
    <s v="12:05:47"/>
    <s v="12:13:37"/>
    <s v="12:18:00"/>
    <x v="202"/>
    <n v="4.3899999999999997"/>
    <n v="4"/>
    <n v="3"/>
  </r>
  <r>
    <n v="211"/>
    <x v="1"/>
    <s v="01-10-2026"/>
    <x v="1"/>
    <x v="1"/>
    <s v="21:21:10"/>
    <s v="21:37:32"/>
    <s v="21:45:12"/>
    <x v="203"/>
    <n v="7.67"/>
    <n v="5"/>
    <n v="2"/>
  </r>
  <r>
    <n v="212"/>
    <x v="3"/>
    <s v="01-10-2026"/>
    <x v="1"/>
    <x v="0"/>
    <s v="13:56:03"/>
    <s v="15:46:12"/>
    <s v="15:54:25"/>
    <x v="204"/>
    <n v="8.2200000000000006"/>
    <n v="12"/>
    <n v="1"/>
  </r>
  <r>
    <n v="213"/>
    <x v="1"/>
    <s v="01-10-2026"/>
    <x v="0"/>
    <x v="0"/>
    <s v="13:17:28"/>
    <s v="13:17:58"/>
    <s v="13:24:24"/>
    <x v="21"/>
    <n v="6.44"/>
    <n v="0"/>
    <n v="3"/>
  </r>
  <r>
    <n v="214"/>
    <x v="2"/>
    <s v="01-10-2026"/>
    <x v="1"/>
    <x v="0"/>
    <s v="21:26:17"/>
    <s v="21:56:11"/>
    <s v="22:03:43"/>
    <x v="205"/>
    <n v="7.53"/>
    <n v="5"/>
    <n v="1"/>
  </r>
  <r>
    <n v="215"/>
    <x v="0"/>
    <s v="01-10-2026"/>
    <x v="1"/>
    <x v="1"/>
    <s v="13:18:43"/>
    <s v="13:31:11"/>
    <s v="13:36:12"/>
    <x v="88"/>
    <n v="5.01"/>
    <n v="7"/>
    <n v="3"/>
  </r>
  <r>
    <n v="216"/>
    <x v="2"/>
    <s v="01-10-2026"/>
    <x v="1"/>
    <x v="2"/>
    <s v="17:25:38"/>
    <s v="17:53:10"/>
    <s v="17:57:50"/>
    <x v="206"/>
    <n v="4.66"/>
    <n v="6"/>
    <n v="1"/>
  </r>
  <r>
    <n v="217"/>
    <x v="0"/>
    <s v="01-10-2026"/>
    <x v="0"/>
    <x v="1"/>
    <s v="17:49:08"/>
    <s v="18:11:20"/>
    <s v="18:15:35"/>
    <x v="207"/>
    <n v="4.25"/>
    <n v="9"/>
    <n v="2"/>
  </r>
  <r>
    <n v="218"/>
    <x v="3"/>
    <s v="01-10-2026"/>
    <x v="1"/>
    <x v="2"/>
    <s v="12:31:47"/>
    <s v="12:55:23"/>
    <s v="13:01:25"/>
    <x v="208"/>
    <n v="6.03"/>
    <n v="6"/>
    <n v="2"/>
  </r>
  <r>
    <n v="219"/>
    <x v="1"/>
    <s v="01-10-2026"/>
    <x v="0"/>
    <x v="1"/>
    <s v="17:32:35"/>
    <s v="17:46:30"/>
    <s v="17:52:18"/>
    <x v="209"/>
    <n v="5.8"/>
    <n v="8"/>
    <n v="3"/>
  </r>
  <r>
    <n v="220"/>
    <x v="3"/>
    <s v="01-10-2026"/>
    <x v="0"/>
    <x v="1"/>
    <s v="12:27:01"/>
    <s v="13:01:58"/>
    <s v="13:11:38"/>
    <x v="210"/>
    <n v="9.68"/>
    <n v="8"/>
    <n v="2"/>
  </r>
  <r>
    <n v="221"/>
    <x v="0"/>
    <s v="01-10-2026"/>
    <x v="1"/>
    <x v="0"/>
    <s v="20:36:25"/>
    <s v="20:38:10"/>
    <s v="20:42:07"/>
    <x v="211"/>
    <n v="3.94"/>
    <n v="2"/>
    <n v="3"/>
  </r>
  <r>
    <n v="222"/>
    <x v="2"/>
    <s v="01-10-2026"/>
    <x v="1"/>
    <x v="2"/>
    <s v="20:01:20"/>
    <s v="20:24:32"/>
    <s v="20:29:20"/>
    <x v="212"/>
    <n v="4.79"/>
    <n v="5"/>
    <n v="1"/>
  </r>
  <r>
    <n v="223"/>
    <x v="2"/>
    <s v="01-10-2026"/>
    <x v="1"/>
    <x v="2"/>
    <s v="20:54:06"/>
    <s v="21:00:03"/>
    <s v="21:05:44"/>
    <x v="213"/>
    <n v="5.68"/>
    <n v="2"/>
    <n v="1"/>
  </r>
  <r>
    <n v="224"/>
    <x v="2"/>
    <s v="01-10-2026"/>
    <x v="1"/>
    <x v="0"/>
    <s v="13:25:55"/>
    <s v="13:37:22"/>
    <s v="13:42:22"/>
    <x v="214"/>
    <n v="4.99"/>
    <n v="5"/>
    <n v="2"/>
  </r>
  <r>
    <n v="225"/>
    <x v="3"/>
    <s v="01-10-2026"/>
    <x v="0"/>
    <x v="1"/>
    <s v="14:04:32"/>
    <s v="14:32:03"/>
    <s v="14:39:58"/>
    <x v="215"/>
    <n v="7.91"/>
    <n v="10"/>
    <n v="3"/>
  </r>
  <r>
    <n v="226"/>
    <x v="0"/>
    <s v="01-10-2026"/>
    <x v="0"/>
    <x v="1"/>
    <s v="19:46:52"/>
    <s v="19:53:34"/>
    <s v="19:58:49"/>
    <x v="216"/>
    <n v="5.24"/>
    <n v="4"/>
    <n v="3"/>
  </r>
  <r>
    <n v="227"/>
    <x v="1"/>
    <s v="01-10-2026"/>
    <x v="0"/>
    <x v="2"/>
    <s v="14:16:12"/>
    <s v="14:28:05"/>
    <s v="14:29:40"/>
    <x v="217"/>
    <n v="1.58"/>
    <n v="3"/>
    <n v="1"/>
  </r>
  <r>
    <n v="228"/>
    <x v="1"/>
    <s v="01-10-2026"/>
    <x v="0"/>
    <x v="2"/>
    <s v="21:29:48"/>
    <s v="21:37:43"/>
    <s v="21:42:18"/>
    <x v="218"/>
    <n v="4.57"/>
    <n v="6"/>
    <n v="3"/>
  </r>
  <r>
    <n v="229"/>
    <x v="2"/>
    <s v="01-10-2026"/>
    <x v="1"/>
    <x v="0"/>
    <s v="19:09:28"/>
    <s v="19:36:00"/>
    <s v="19:41:01"/>
    <x v="219"/>
    <n v="5.01"/>
    <n v="5"/>
    <n v="1"/>
  </r>
  <r>
    <n v="230"/>
    <x v="2"/>
    <s v="01-10-2026"/>
    <x v="1"/>
    <x v="0"/>
    <s v="18:50:17"/>
    <s v="19:06:19"/>
    <s v="19:11:45"/>
    <x v="220"/>
    <n v="5.44"/>
    <n v="8"/>
    <n v="3"/>
  </r>
  <r>
    <n v="231"/>
    <x v="0"/>
    <s v="01-10-2026"/>
    <x v="1"/>
    <x v="0"/>
    <s v="13:19:29"/>
    <s v="13:31:43"/>
    <s v="13:35:06"/>
    <x v="221"/>
    <n v="3.39"/>
    <n v="5"/>
    <n v="2"/>
  </r>
  <r>
    <n v="232"/>
    <x v="0"/>
    <s v="01-10-2026"/>
    <x v="0"/>
    <x v="1"/>
    <s v="18:04:41"/>
    <s v="18:42:33"/>
    <s v="18:47:45"/>
    <x v="222"/>
    <n v="5.21"/>
    <n v="8"/>
    <n v="1"/>
  </r>
  <r>
    <n v="233"/>
    <x v="2"/>
    <s v="01-10-2026"/>
    <x v="1"/>
    <x v="0"/>
    <s v="12:28:58"/>
    <s v="12:38:34"/>
    <s v="12:44:31"/>
    <x v="223"/>
    <n v="5.94"/>
    <n v="6"/>
    <n v="3"/>
  </r>
  <r>
    <n v="234"/>
    <x v="1"/>
    <s v="01-10-2026"/>
    <x v="1"/>
    <x v="0"/>
    <s v="21:32:09"/>
    <s v="22:32:28"/>
    <s v="22:38:25"/>
    <x v="224"/>
    <n v="5.95"/>
    <n v="10"/>
    <n v="1"/>
  </r>
  <r>
    <n v="235"/>
    <x v="2"/>
    <s v="01-10-2026"/>
    <x v="0"/>
    <x v="1"/>
    <s v="13:32:41"/>
    <s v="13:43:57"/>
    <s v="13:49:29"/>
    <x v="225"/>
    <n v="5.53"/>
    <n v="2"/>
    <n v="1"/>
  </r>
  <r>
    <n v="236"/>
    <x v="0"/>
    <s v="01-10-2026"/>
    <x v="0"/>
    <x v="0"/>
    <s v="21:28:33"/>
    <s v="21:31:38"/>
    <s v="21:35:58"/>
    <x v="226"/>
    <n v="4.33"/>
    <n v="2"/>
    <n v="3"/>
  </r>
  <r>
    <n v="237"/>
    <x v="1"/>
    <s v="01-10-2026"/>
    <x v="1"/>
    <x v="1"/>
    <s v="18:24:26"/>
    <s v="19:00:47"/>
    <s v="19:08:21"/>
    <x v="227"/>
    <n v="7.57"/>
    <n v="10"/>
    <n v="2"/>
  </r>
  <r>
    <n v="238"/>
    <x v="0"/>
    <s v="01-10-2026"/>
    <x v="1"/>
    <x v="2"/>
    <s v="19:06:35"/>
    <s v="19:08:23"/>
    <s v="19:10:33"/>
    <x v="228"/>
    <n v="2.17"/>
    <n v="2"/>
    <n v="3"/>
  </r>
  <r>
    <n v="239"/>
    <x v="2"/>
    <s v="01-10-2026"/>
    <x v="1"/>
    <x v="1"/>
    <s v="14:21:05"/>
    <s v="14:41:11"/>
    <s v="14:47:37"/>
    <x v="229"/>
    <n v="6.44"/>
    <n v="10"/>
    <n v="3"/>
  </r>
  <r>
    <n v="240"/>
    <x v="1"/>
    <s v="01-10-2026"/>
    <x v="1"/>
    <x v="1"/>
    <s v="20:08:38"/>
    <s v="20:28:53"/>
    <s v="20:34:35"/>
    <x v="230"/>
    <n v="5.7"/>
    <n v="8"/>
    <n v="3"/>
  </r>
  <r>
    <n v="241"/>
    <x v="0"/>
    <s v="01-10-2026"/>
    <x v="1"/>
    <x v="0"/>
    <s v="20:41:50"/>
    <s v="21:01:00"/>
    <s v="21:03:33"/>
    <x v="31"/>
    <n v="2.5499999999999998"/>
    <n v="9"/>
    <n v="2"/>
  </r>
  <r>
    <n v="242"/>
    <x v="1"/>
    <s v="01-10-2026"/>
    <x v="0"/>
    <x v="0"/>
    <s v="20:32:23"/>
    <s v="21:03:56"/>
    <s v="21:09:18"/>
    <x v="231"/>
    <n v="5.37"/>
    <n v="6"/>
    <n v="1"/>
  </r>
  <r>
    <n v="243"/>
    <x v="3"/>
    <s v="01-10-2026"/>
    <x v="1"/>
    <x v="2"/>
    <s v="17:21:49"/>
    <s v="17:56:07"/>
    <s v="18:04:43"/>
    <x v="232"/>
    <n v="8.61"/>
    <n v="9"/>
    <n v="2"/>
  </r>
  <r>
    <n v="244"/>
    <x v="1"/>
    <s v="01-10-2026"/>
    <x v="0"/>
    <x v="2"/>
    <s v="14:04:18"/>
    <s v="14:19:28"/>
    <s v="14:23:40"/>
    <x v="233"/>
    <n v="4.2"/>
    <n v="4"/>
    <n v="1"/>
  </r>
  <r>
    <n v="245"/>
    <x v="0"/>
    <s v="01-10-2026"/>
    <x v="1"/>
    <x v="0"/>
    <s v="14:38:24"/>
    <s v="14:59:09"/>
    <s v="15:05:41"/>
    <x v="234"/>
    <n v="6.54"/>
    <n v="4"/>
    <n v="1"/>
  </r>
  <r>
    <n v="246"/>
    <x v="1"/>
    <s v="01-10-2026"/>
    <x v="0"/>
    <x v="0"/>
    <s v="14:46:28"/>
    <s v="15:02:05"/>
    <s v="15:08:26"/>
    <x v="235"/>
    <n v="6.34"/>
    <n v="3"/>
    <n v="1"/>
  </r>
  <r>
    <n v="247"/>
    <x v="2"/>
    <s v="01-10-2026"/>
    <x v="1"/>
    <x v="0"/>
    <s v="17:28:39"/>
    <s v="17:38:23"/>
    <s v="17:44:24"/>
    <x v="11"/>
    <n v="6.02"/>
    <n v="3"/>
    <n v="2"/>
  </r>
  <r>
    <n v="248"/>
    <x v="2"/>
    <s v="01-10-2026"/>
    <x v="0"/>
    <x v="0"/>
    <s v="17:19:51"/>
    <s v="17:35:44"/>
    <s v="17:41:17"/>
    <x v="236"/>
    <n v="5.55"/>
    <n v="7"/>
    <n v="2"/>
  </r>
  <r>
    <n v="249"/>
    <x v="1"/>
    <s v="01-10-2026"/>
    <x v="1"/>
    <x v="0"/>
    <s v="21:29:49"/>
    <s v="21:54:48"/>
    <s v="22:00:50"/>
    <x v="237"/>
    <n v="6.03"/>
    <n v="7"/>
    <n v="2"/>
  </r>
  <r>
    <n v="250"/>
    <x v="2"/>
    <s v="01-10-2026"/>
    <x v="1"/>
    <x v="2"/>
    <s v="17:51:38"/>
    <s v="18:19:46"/>
    <s v="18:22:21"/>
    <x v="238"/>
    <n v="2.59"/>
    <n v="6"/>
    <n v="1"/>
  </r>
  <r>
    <n v="251"/>
    <x v="3"/>
    <s v="01-10-2026"/>
    <x v="0"/>
    <x v="0"/>
    <s v="21:55:23"/>
    <s v="22:08:31"/>
    <s v="22:14:45"/>
    <x v="239"/>
    <n v="6.23"/>
    <n v="5"/>
    <n v="3"/>
  </r>
  <r>
    <n v="252"/>
    <x v="0"/>
    <s v="01-10-2026"/>
    <x v="0"/>
    <x v="1"/>
    <s v="13:48:10"/>
    <s v="13:56:37"/>
    <s v="14:00:35"/>
    <x v="240"/>
    <n v="3.97"/>
    <n v="3"/>
    <n v="2"/>
  </r>
  <r>
    <n v="253"/>
    <x v="2"/>
    <s v="01-10-2026"/>
    <x v="0"/>
    <x v="1"/>
    <s v="13:58:14"/>
    <s v="14:09:54"/>
    <s v="14:15:22"/>
    <x v="241"/>
    <n v="5.47"/>
    <n v="5"/>
    <n v="2"/>
  </r>
  <r>
    <n v="254"/>
    <x v="3"/>
    <s v="01-10-2026"/>
    <x v="0"/>
    <x v="1"/>
    <s v="12:25:32"/>
    <s v="13:08:11"/>
    <s v="13:17:08"/>
    <x v="242"/>
    <n v="8.9600000000000009"/>
    <n v="10"/>
    <n v="2"/>
  </r>
  <r>
    <n v="255"/>
    <x v="1"/>
    <s v="01-10-2026"/>
    <x v="1"/>
    <x v="2"/>
    <s v="19:14:01"/>
    <s v="19:26:47"/>
    <s v="19:32:20"/>
    <x v="243"/>
    <n v="5.55"/>
    <n v="5"/>
    <n v="2"/>
  </r>
  <r>
    <n v="256"/>
    <x v="0"/>
    <s v="01-10-2026"/>
    <x v="1"/>
    <x v="2"/>
    <s v="14:02:18"/>
    <s v="14:05:26"/>
    <s v="14:09:58"/>
    <x v="244"/>
    <n v="4.54"/>
    <n v="2"/>
    <n v="2"/>
  </r>
  <r>
    <n v="257"/>
    <x v="1"/>
    <s v="01-10-2026"/>
    <x v="1"/>
    <x v="1"/>
    <s v="12:57:05"/>
    <s v="13:38:51"/>
    <s v="13:45:14"/>
    <x v="245"/>
    <n v="6.37"/>
    <n v="6"/>
    <n v="1"/>
  </r>
  <r>
    <n v="258"/>
    <x v="3"/>
    <s v="01-10-2026"/>
    <x v="0"/>
    <x v="2"/>
    <s v="20:07:49"/>
    <s v="20:25:07"/>
    <s v="20:31:51"/>
    <x v="246"/>
    <n v="6.73"/>
    <n v="5"/>
    <n v="2"/>
  </r>
  <r>
    <n v="259"/>
    <x v="1"/>
    <s v="01-10-2026"/>
    <x v="1"/>
    <x v="2"/>
    <s v="12:15:26"/>
    <s v="12:22:42"/>
    <s v="12:28:13"/>
    <x v="247"/>
    <n v="5.51"/>
    <n v="5"/>
    <n v="3"/>
  </r>
  <r>
    <n v="260"/>
    <x v="2"/>
    <s v="01-10-2026"/>
    <x v="0"/>
    <x v="2"/>
    <s v="21:38:34"/>
    <s v="21:39:04"/>
    <s v="21:42:25"/>
    <x v="21"/>
    <n v="3.35"/>
    <n v="0"/>
    <n v="1"/>
  </r>
  <r>
    <n v="261"/>
    <x v="1"/>
    <s v="01-10-2026"/>
    <x v="0"/>
    <x v="1"/>
    <s v="20:00:39"/>
    <s v="20:06:29"/>
    <s v="20:13:04"/>
    <x v="248"/>
    <n v="6.58"/>
    <n v="3"/>
    <n v="2"/>
  </r>
  <r>
    <n v="262"/>
    <x v="1"/>
    <s v="01-10-2026"/>
    <x v="1"/>
    <x v="2"/>
    <s v="13:33:23"/>
    <s v="14:22:46"/>
    <s v="14:28:39"/>
    <x v="249"/>
    <n v="5.89"/>
    <n v="9"/>
    <n v="1"/>
  </r>
  <r>
    <n v="263"/>
    <x v="0"/>
    <s v="01-10-2026"/>
    <x v="1"/>
    <x v="1"/>
    <s v="12:40:24"/>
    <s v="13:04:35"/>
    <s v="13:08:50"/>
    <x v="250"/>
    <n v="4.25"/>
    <n v="9"/>
    <n v="2"/>
  </r>
  <r>
    <n v="264"/>
    <x v="3"/>
    <s v="01-10-2026"/>
    <x v="0"/>
    <x v="1"/>
    <s v="13:22:15"/>
    <s v="13:35:28"/>
    <s v="13:45:19"/>
    <x v="251"/>
    <n v="9.85"/>
    <n v="4"/>
    <n v="3"/>
  </r>
  <r>
    <n v="265"/>
    <x v="0"/>
    <s v="01-10-2026"/>
    <x v="1"/>
    <x v="2"/>
    <s v="12:22:34"/>
    <s v="12:28:26"/>
    <s v="12:31:27"/>
    <x v="252"/>
    <n v="3.02"/>
    <n v="2"/>
    <n v="2"/>
  </r>
  <r>
    <n v="266"/>
    <x v="1"/>
    <s v="01-10-2026"/>
    <x v="1"/>
    <x v="0"/>
    <s v="21:40:11"/>
    <s v="22:23:39"/>
    <s v="22:29:23"/>
    <x v="253"/>
    <n v="5.73"/>
    <n v="7"/>
    <n v="1"/>
  </r>
  <r>
    <n v="267"/>
    <x v="0"/>
    <s v="01-10-2026"/>
    <x v="1"/>
    <x v="2"/>
    <s v="18:12:02"/>
    <s v="18:20:18"/>
    <s v="18:24:08"/>
    <x v="254"/>
    <n v="3.83"/>
    <n v="2"/>
    <n v="1"/>
  </r>
  <r>
    <n v="268"/>
    <x v="0"/>
    <s v="01-10-2026"/>
    <x v="1"/>
    <x v="1"/>
    <s v="20:52:34"/>
    <s v="20:54:54"/>
    <s v="21:01:58"/>
    <x v="255"/>
    <n v="7.06"/>
    <n v="1"/>
    <n v="2"/>
  </r>
  <r>
    <n v="269"/>
    <x v="3"/>
    <s v="01-10-2026"/>
    <x v="0"/>
    <x v="0"/>
    <s v="17:18:22"/>
    <s v="18:38:14"/>
    <s v="18:44:35"/>
    <x v="256"/>
    <n v="6.35"/>
    <n v="11"/>
    <n v="1"/>
  </r>
  <r>
    <n v="270"/>
    <x v="3"/>
    <s v="01-10-2026"/>
    <x v="1"/>
    <x v="2"/>
    <s v="19:27:56"/>
    <s v="20:02:47"/>
    <s v="20:10:06"/>
    <x v="257"/>
    <n v="7.33"/>
    <n v="9"/>
    <n v="2"/>
  </r>
  <r>
    <n v="271"/>
    <x v="2"/>
    <s v="01-10-2026"/>
    <x v="1"/>
    <x v="1"/>
    <s v="14:31:44"/>
    <s v="14:50:08"/>
    <s v="14:58:42"/>
    <x v="258"/>
    <n v="8.57"/>
    <n v="6"/>
    <n v="2"/>
  </r>
  <r>
    <n v="272"/>
    <x v="3"/>
    <s v="01-10-2026"/>
    <x v="1"/>
    <x v="2"/>
    <s v="20:05:27"/>
    <s v="20:30:13"/>
    <s v="20:36:31"/>
    <x v="259"/>
    <n v="6.3"/>
    <n v="8"/>
    <n v="3"/>
  </r>
  <r>
    <n v="273"/>
    <x v="1"/>
    <s v="01-10-2026"/>
    <x v="1"/>
    <x v="1"/>
    <s v="13:05:20"/>
    <s v="13:23:03"/>
    <s v="13:30:56"/>
    <x v="260"/>
    <n v="7.89"/>
    <n v="8"/>
    <n v="3"/>
  </r>
  <r>
    <n v="274"/>
    <x v="3"/>
    <s v="01-10-2026"/>
    <x v="1"/>
    <x v="1"/>
    <s v="20:10:44"/>
    <s v="20:41:08"/>
    <s v="20:51:39"/>
    <x v="261"/>
    <n v="10.53"/>
    <n v="6"/>
    <n v="2"/>
  </r>
  <r>
    <n v="275"/>
    <x v="3"/>
    <s v="01-10-2026"/>
    <x v="1"/>
    <x v="2"/>
    <s v="19:39:27"/>
    <s v="20:24:08"/>
    <s v="20:31:36"/>
    <x v="262"/>
    <n v="7.46"/>
    <n v="11"/>
    <n v="2"/>
  </r>
  <r>
    <n v="276"/>
    <x v="0"/>
    <s v="01-10-2026"/>
    <x v="0"/>
    <x v="0"/>
    <s v="20:23:32"/>
    <s v="20:28:36"/>
    <s v="20:33:45"/>
    <x v="263"/>
    <n v="5.16"/>
    <n v="4"/>
    <n v="3"/>
  </r>
  <r>
    <n v="277"/>
    <x v="1"/>
    <s v="01-10-2026"/>
    <x v="0"/>
    <x v="2"/>
    <s v="21:02:08"/>
    <s v="21:25:36"/>
    <s v="21:30:18"/>
    <x v="264"/>
    <n v="4.6900000000000004"/>
    <n v="5"/>
    <n v="1"/>
  </r>
  <r>
    <n v="278"/>
    <x v="1"/>
    <s v="01-10-2026"/>
    <x v="1"/>
    <x v="1"/>
    <s v="20:36:02"/>
    <s v="20:46:16"/>
    <s v="20:51:54"/>
    <x v="265"/>
    <n v="5.64"/>
    <n v="5"/>
    <n v="3"/>
  </r>
  <r>
    <n v="279"/>
    <x v="1"/>
    <s v="01-10-2026"/>
    <x v="1"/>
    <x v="1"/>
    <s v="19:28:48"/>
    <s v="19:56:04"/>
    <s v="20:03:57"/>
    <x v="266"/>
    <n v="7.88"/>
    <n v="4"/>
    <n v="1"/>
  </r>
  <r>
    <n v="280"/>
    <x v="1"/>
    <s v="01-10-2026"/>
    <x v="1"/>
    <x v="1"/>
    <s v="19:41:17"/>
    <s v="20:17:26"/>
    <s v="20:25:38"/>
    <x v="267"/>
    <n v="8.1999999999999993"/>
    <n v="5"/>
    <n v="1"/>
  </r>
  <r>
    <n v="281"/>
    <x v="0"/>
    <s v="01-10-2026"/>
    <x v="0"/>
    <x v="0"/>
    <s v="14:31:33"/>
    <s v="14:39:21"/>
    <s v="14:42:38"/>
    <x v="268"/>
    <n v="3.28"/>
    <n v="4"/>
    <n v="2"/>
  </r>
  <r>
    <n v="282"/>
    <x v="0"/>
    <s v="01-10-2026"/>
    <x v="1"/>
    <x v="1"/>
    <s v="21:13:39"/>
    <s v="21:19:00"/>
    <s v="21:24:40"/>
    <x v="269"/>
    <n v="5.67"/>
    <n v="3"/>
    <n v="2"/>
  </r>
  <r>
    <n v="283"/>
    <x v="2"/>
    <s v="01-10-2026"/>
    <x v="0"/>
    <x v="2"/>
    <s v="14:54:04"/>
    <s v="15:01:49"/>
    <s v="15:05:07"/>
    <x v="270"/>
    <n v="3.29"/>
    <n v="4"/>
    <n v="2"/>
  </r>
  <r>
    <n v="284"/>
    <x v="1"/>
    <s v="01-10-2026"/>
    <x v="1"/>
    <x v="2"/>
    <s v="19:42:22"/>
    <s v="19:52:39"/>
    <s v="19:57:55"/>
    <x v="271"/>
    <n v="5.27"/>
    <n v="7"/>
    <n v="3"/>
  </r>
  <r>
    <n v="285"/>
    <x v="0"/>
    <s v="01-10-2026"/>
    <x v="1"/>
    <x v="1"/>
    <s v="14:45:45"/>
    <s v="15:03:00"/>
    <s v="15:09:42"/>
    <x v="272"/>
    <n v="6.7"/>
    <n v="8"/>
    <n v="3"/>
  </r>
  <r>
    <n v="286"/>
    <x v="1"/>
    <s v="01-10-2026"/>
    <x v="1"/>
    <x v="0"/>
    <s v="17:07:12"/>
    <s v="17:51:15"/>
    <s v="17:56:57"/>
    <x v="273"/>
    <n v="5.7"/>
    <n v="7"/>
    <n v="1"/>
  </r>
  <r>
    <n v="287"/>
    <x v="1"/>
    <s v="01-10-2026"/>
    <x v="1"/>
    <x v="2"/>
    <s v="19:35:36"/>
    <s v="19:45:27"/>
    <s v="19:50:52"/>
    <x v="274"/>
    <n v="5.42"/>
    <n v="4"/>
    <n v="2"/>
  </r>
  <r>
    <n v="288"/>
    <x v="2"/>
    <s v="01-10-2026"/>
    <x v="0"/>
    <x v="0"/>
    <s v="13:04:19"/>
    <s v="13:14:45"/>
    <s v="13:18:29"/>
    <x v="108"/>
    <n v="3.73"/>
    <n v="4"/>
    <n v="2"/>
  </r>
  <r>
    <n v="289"/>
    <x v="2"/>
    <s v="01-10-2026"/>
    <x v="1"/>
    <x v="1"/>
    <s v="13:08:20"/>
    <s v="13:19:07"/>
    <s v="13:25:33"/>
    <x v="275"/>
    <n v="6.43"/>
    <n v="5"/>
    <n v="3"/>
  </r>
  <r>
    <n v="290"/>
    <x v="0"/>
    <s v="01-10-2026"/>
    <x v="1"/>
    <x v="1"/>
    <s v="19:08:56"/>
    <s v="19:23:48"/>
    <s v="19:30:11"/>
    <x v="276"/>
    <n v="6.39"/>
    <n v="7"/>
    <n v="3"/>
  </r>
  <r>
    <n v="291"/>
    <x v="1"/>
    <s v="01-10-2026"/>
    <x v="0"/>
    <x v="1"/>
    <s v="12:53:07"/>
    <s v="12:56:31"/>
    <s v="13:03:36"/>
    <x v="277"/>
    <n v="7.09"/>
    <n v="1"/>
    <n v="3"/>
  </r>
  <r>
    <n v="292"/>
    <x v="1"/>
    <s v="01-10-2026"/>
    <x v="1"/>
    <x v="2"/>
    <s v="14:20:59"/>
    <s v="14:35:59"/>
    <s v="14:41:16"/>
    <x v="278"/>
    <n v="5.28"/>
    <n v="8"/>
    <n v="3"/>
  </r>
  <r>
    <n v="293"/>
    <x v="1"/>
    <s v="01-10-2026"/>
    <x v="1"/>
    <x v="0"/>
    <s v="18:54:05"/>
    <s v="19:12:02"/>
    <s v="19:19:41"/>
    <x v="279"/>
    <n v="7.66"/>
    <n v="6"/>
    <n v="2"/>
  </r>
  <r>
    <n v="294"/>
    <x v="1"/>
    <s v="01-10-2026"/>
    <x v="1"/>
    <x v="2"/>
    <s v="18:39:34"/>
    <s v="19:21:39"/>
    <s v="19:26:38"/>
    <x v="280"/>
    <n v="4.9800000000000004"/>
    <n v="8"/>
    <n v="1"/>
  </r>
  <r>
    <n v="295"/>
    <x v="1"/>
    <s v="01-10-2026"/>
    <x v="0"/>
    <x v="2"/>
    <s v="19:53:59"/>
    <s v="20:02:29"/>
    <s v="20:07:35"/>
    <x v="281"/>
    <n v="5.0999999999999996"/>
    <n v="6"/>
    <n v="3"/>
  </r>
  <r>
    <n v="296"/>
    <x v="0"/>
    <s v="01-10-2026"/>
    <x v="0"/>
    <x v="2"/>
    <s v="12:41:49"/>
    <s v="12:43:02"/>
    <s v="12:45:32"/>
    <x v="282"/>
    <n v="2.5"/>
    <n v="1"/>
    <n v="3"/>
  </r>
  <r>
    <n v="297"/>
    <x v="3"/>
    <s v="01-10-2026"/>
    <x v="0"/>
    <x v="0"/>
    <s v="20:39:40"/>
    <s v="21:09:14"/>
    <s v="21:14:04"/>
    <x v="283"/>
    <n v="4.84"/>
    <n v="4"/>
    <n v="1"/>
  </r>
  <r>
    <n v="298"/>
    <x v="2"/>
    <s v="01-10-2026"/>
    <x v="1"/>
    <x v="0"/>
    <s v="18:30:15"/>
    <s v="18:36:34"/>
    <s v="18:42:03"/>
    <x v="284"/>
    <n v="5.48"/>
    <n v="3"/>
    <n v="3"/>
  </r>
  <r>
    <n v="299"/>
    <x v="2"/>
    <s v="01-10-2026"/>
    <x v="1"/>
    <x v="1"/>
    <s v="13:44:03"/>
    <s v="14:34:58"/>
    <s v="14:41:48"/>
    <x v="285"/>
    <n v="6.83"/>
    <n v="8"/>
    <n v="1"/>
  </r>
  <r>
    <n v="300"/>
    <x v="2"/>
    <s v="01-10-2026"/>
    <x v="1"/>
    <x v="1"/>
    <s v="21:13:21"/>
    <s v="21:18:58"/>
    <s v="21:24:28"/>
    <x v="286"/>
    <n v="5.5"/>
    <n v="2"/>
    <n v="3"/>
  </r>
  <r>
    <n v="301"/>
    <x v="1"/>
    <s v="01-10-2026"/>
    <x v="1"/>
    <x v="0"/>
    <s v="19:46:55"/>
    <s v="19:57:43"/>
    <s v="20:02:34"/>
    <x v="287"/>
    <n v="4.8600000000000003"/>
    <n v="3"/>
    <n v="2"/>
  </r>
  <r>
    <n v="302"/>
    <x v="2"/>
    <s v="01-10-2026"/>
    <x v="0"/>
    <x v="1"/>
    <s v="13:20:15"/>
    <s v="13:33:27"/>
    <s v="13:37:49"/>
    <x v="288"/>
    <n v="4.37"/>
    <n v="6"/>
    <n v="2"/>
  </r>
  <r>
    <n v="303"/>
    <x v="0"/>
    <s v="01-10-2026"/>
    <x v="1"/>
    <x v="1"/>
    <s v="17:09:06"/>
    <s v="17:22:31"/>
    <s v="17:27:52"/>
    <x v="289"/>
    <n v="5.35"/>
    <n v="2"/>
    <n v="1"/>
  </r>
  <r>
    <n v="304"/>
    <x v="3"/>
    <s v="01-10-2026"/>
    <x v="1"/>
    <x v="0"/>
    <s v="20:15:55"/>
    <s v="21:45:03"/>
    <s v="21:53:42"/>
    <x v="290"/>
    <n v="8.65"/>
    <n v="10"/>
    <n v="1"/>
  </r>
  <r>
    <n v="305"/>
    <x v="3"/>
    <s v="01-10-2026"/>
    <x v="1"/>
    <x v="2"/>
    <s v="14:31:32"/>
    <s v="15:15:54"/>
    <s v="15:23:38"/>
    <x v="291"/>
    <n v="7.72"/>
    <n v="11"/>
    <n v="2"/>
  </r>
  <r>
    <n v="306"/>
    <x v="2"/>
    <s v="01-10-2026"/>
    <x v="1"/>
    <x v="1"/>
    <s v="12:05:25"/>
    <s v="12:10:24"/>
    <s v="12:18:44"/>
    <x v="292"/>
    <n v="8.33"/>
    <n v="3"/>
    <n v="3"/>
  </r>
  <r>
    <n v="307"/>
    <x v="2"/>
    <s v="01-10-2026"/>
    <x v="0"/>
    <x v="2"/>
    <s v="19:03:03"/>
    <s v="19:12:05"/>
    <s v="19:16:06"/>
    <x v="293"/>
    <n v="4.01"/>
    <n v="3"/>
    <n v="2"/>
  </r>
  <r>
    <n v="308"/>
    <x v="2"/>
    <s v="01-10-2026"/>
    <x v="1"/>
    <x v="1"/>
    <s v="12:54:06"/>
    <s v="13:07:33"/>
    <s v="13:13:31"/>
    <x v="294"/>
    <n v="5.97"/>
    <n v="5"/>
    <n v="2"/>
  </r>
  <r>
    <n v="309"/>
    <x v="1"/>
    <s v="01-10-2026"/>
    <x v="1"/>
    <x v="0"/>
    <s v="19:48:25"/>
    <s v="20:07:45"/>
    <s v="20:14:25"/>
    <x v="295"/>
    <n v="6.67"/>
    <n v="7"/>
    <n v="2"/>
  </r>
  <r>
    <n v="310"/>
    <x v="0"/>
    <s v="01-10-2026"/>
    <x v="1"/>
    <x v="2"/>
    <s v="17:23:35"/>
    <s v="17:30:31"/>
    <s v="17:34:44"/>
    <x v="83"/>
    <n v="4.22"/>
    <n v="3"/>
    <n v="2"/>
  </r>
  <r>
    <n v="311"/>
    <x v="0"/>
    <s v="01-10-2026"/>
    <x v="1"/>
    <x v="0"/>
    <s v="21:48:35"/>
    <s v="21:59:13"/>
    <s v="22:04:31"/>
    <x v="296"/>
    <n v="5.3"/>
    <n v="5"/>
    <n v="2"/>
  </r>
  <r>
    <n v="312"/>
    <x v="0"/>
    <s v="01-10-2026"/>
    <x v="0"/>
    <x v="2"/>
    <s v="20:23:50"/>
    <s v="20:27:12"/>
    <s v="20:31:18"/>
    <x v="297"/>
    <n v="4.0999999999999996"/>
    <n v="3"/>
    <n v="2"/>
  </r>
  <r>
    <n v="313"/>
    <x v="3"/>
    <s v="01-10-2026"/>
    <x v="0"/>
    <x v="2"/>
    <s v="20:32:02"/>
    <s v="21:07:41"/>
    <s v="21:13:56"/>
    <x v="298"/>
    <n v="6.25"/>
    <n v="5"/>
    <n v="1"/>
  </r>
  <r>
    <n v="314"/>
    <x v="0"/>
    <s v="01-10-2026"/>
    <x v="0"/>
    <x v="0"/>
    <s v="19:51:30"/>
    <s v="19:52:10"/>
    <s v="19:54:35"/>
    <x v="299"/>
    <n v="2.42"/>
    <n v="2"/>
    <n v="3"/>
  </r>
  <r>
    <n v="315"/>
    <x v="2"/>
    <s v="01-10-2026"/>
    <x v="0"/>
    <x v="0"/>
    <s v="14:20:59"/>
    <s v="14:31:26"/>
    <s v="14:36:45"/>
    <x v="300"/>
    <n v="5.33"/>
    <n v="8"/>
    <n v="3"/>
  </r>
  <r>
    <n v="316"/>
    <x v="3"/>
    <s v="01-10-2026"/>
    <x v="0"/>
    <x v="1"/>
    <s v="18:37:21"/>
    <s v="18:50:49"/>
    <s v="18:59:57"/>
    <x v="57"/>
    <n v="9.14"/>
    <n v="5"/>
    <n v="3"/>
  </r>
  <r>
    <n v="317"/>
    <x v="2"/>
    <s v="01-10-2026"/>
    <x v="1"/>
    <x v="1"/>
    <s v="12:23:21"/>
    <s v="12:46:02"/>
    <s v="12:53:47"/>
    <x v="301"/>
    <n v="7.75"/>
    <n v="11"/>
    <n v="3"/>
  </r>
  <r>
    <n v="318"/>
    <x v="0"/>
    <s v="01-10-2026"/>
    <x v="1"/>
    <x v="0"/>
    <s v="18:50:57"/>
    <s v="18:56:50"/>
    <s v="19:02:06"/>
    <x v="302"/>
    <n v="5.27"/>
    <n v="4"/>
    <n v="3"/>
  </r>
  <r>
    <n v="319"/>
    <x v="0"/>
    <s v="01-10-2026"/>
    <x v="1"/>
    <x v="1"/>
    <s v="17:46:03"/>
    <s v="17:53:24"/>
    <s v="17:58:30"/>
    <x v="303"/>
    <n v="5.09"/>
    <n v="3"/>
    <n v="3"/>
  </r>
  <r>
    <n v="320"/>
    <x v="2"/>
    <s v="01-10-2026"/>
    <x v="0"/>
    <x v="0"/>
    <s v="20:09:52"/>
    <s v="20:19:44"/>
    <s v="20:22:40"/>
    <x v="304"/>
    <n v="2.93"/>
    <n v="7"/>
    <n v="3"/>
  </r>
  <r>
    <n v="321"/>
    <x v="1"/>
    <s v="01-10-2026"/>
    <x v="0"/>
    <x v="0"/>
    <s v="13:12:01"/>
    <s v="13:15:38"/>
    <s v="13:18:15"/>
    <x v="305"/>
    <n v="2.62"/>
    <n v="1"/>
    <n v="2"/>
  </r>
  <r>
    <n v="322"/>
    <x v="3"/>
    <s v="01-10-2026"/>
    <x v="1"/>
    <x v="2"/>
    <s v="20:44:13"/>
    <s v="21:05:32"/>
    <s v="21:14:10"/>
    <x v="306"/>
    <n v="8.6199999999999992"/>
    <n v="5"/>
    <n v="2"/>
  </r>
  <r>
    <n v="323"/>
    <x v="2"/>
    <s v="01-10-2026"/>
    <x v="0"/>
    <x v="0"/>
    <s v="14:33:13"/>
    <s v="14:43:35"/>
    <s v="14:47:56"/>
    <x v="307"/>
    <n v="4.3499999999999996"/>
    <n v="6"/>
    <n v="3"/>
  </r>
  <r>
    <n v="324"/>
    <x v="3"/>
    <s v="01-10-2026"/>
    <x v="1"/>
    <x v="0"/>
    <s v="20:20:11"/>
    <s v="21:19:27"/>
    <s v="21:26:56"/>
    <x v="308"/>
    <n v="7.47"/>
    <n v="13"/>
    <n v="2"/>
  </r>
  <r>
    <n v="325"/>
    <x v="3"/>
    <s v="01-10-2026"/>
    <x v="1"/>
    <x v="0"/>
    <s v="18:39:30"/>
    <s v="20:55:18"/>
    <s v="21:03:39"/>
    <x v="309"/>
    <n v="8.35"/>
    <n v="15"/>
    <n v="1"/>
  </r>
  <r>
    <n v="326"/>
    <x v="1"/>
    <s v="01-10-2026"/>
    <x v="1"/>
    <x v="0"/>
    <s v="18:14:19"/>
    <s v="18:46:02"/>
    <s v="18:51:43"/>
    <x v="310"/>
    <n v="5.68"/>
    <n v="10"/>
    <n v="2"/>
  </r>
  <r>
    <n v="327"/>
    <x v="1"/>
    <s v="01-10-2026"/>
    <x v="1"/>
    <x v="1"/>
    <s v="21:22:35"/>
    <s v="21:29:39"/>
    <s v="21:36:19"/>
    <x v="311"/>
    <n v="6.66"/>
    <n v="4"/>
    <n v="3"/>
  </r>
  <r>
    <n v="328"/>
    <x v="3"/>
    <s v="01-10-2026"/>
    <x v="1"/>
    <x v="2"/>
    <s v="20:57:25"/>
    <s v="21:34:55"/>
    <s v="21:42:26"/>
    <x v="312"/>
    <n v="7.52"/>
    <n v="10"/>
    <n v="2"/>
  </r>
  <r>
    <n v="329"/>
    <x v="1"/>
    <s v="01-10-2026"/>
    <x v="1"/>
    <x v="2"/>
    <s v="18:45:05"/>
    <s v="19:05:39"/>
    <s v="19:12:59"/>
    <x v="313"/>
    <n v="7.33"/>
    <n v="7"/>
    <n v="2"/>
  </r>
  <r>
    <n v="330"/>
    <x v="2"/>
    <s v="01-10-2026"/>
    <x v="1"/>
    <x v="0"/>
    <s v="21:13:12"/>
    <s v="21:17:54"/>
    <s v="21:23:49"/>
    <x v="314"/>
    <n v="5.93"/>
    <n v="4"/>
    <n v="3"/>
  </r>
  <r>
    <n v="331"/>
    <x v="3"/>
    <s v="01-10-2026"/>
    <x v="1"/>
    <x v="2"/>
    <s v="13:39:47"/>
    <s v="13:57:11"/>
    <s v="14:03:16"/>
    <x v="315"/>
    <n v="6.09"/>
    <n v="7"/>
    <n v="3"/>
  </r>
  <r>
    <n v="332"/>
    <x v="1"/>
    <s v="01-10-2026"/>
    <x v="0"/>
    <x v="2"/>
    <s v="17:40:14"/>
    <s v="17:53:58"/>
    <s v="17:58:58"/>
    <x v="177"/>
    <n v="5"/>
    <n v="3"/>
    <n v="1"/>
  </r>
  <r>
    <n v="333"/>
    <x v="0"/>
    <s v="01-10-2026"/>
    <x v="1"/>
    <x v="1"/>
    <s v="21:06:43"/>
    <s v="21:32:34"/>
    <s v="21:37:04"/>
    <x v="316"/>
    <n v="4.5"/>
    <n v="5"/>
    <n v="1"/>
  </r>
  <r>
    <n v="334"/>
    <x v="0"/>
    <s v="01-10-2026"/>
    <x v="0"/>
    <x v="1"/>
    <s v="21:30:41"/>
    <s v="21:51:09"/>
    <s v="21:55:05"/>
    <x v="317"/>
    <n v="3.94"/>
    <n v="4"/>
    <n v="1"/>
  </r>
  <r>
    <n v="335"/>
    <x v="3"/>
    <s v="01-10-2026"/>
    <x v="1"/>
    <x v="1"/>
    <s v="12:58:49"/>
    <s v="14:58:50"/>
    <s v="15:07:19"/>
    <x v="318"/>
    <n v="8.48"/>
    <n v="12"/>
    <n v="1"/>
  </r>
  <r>
    <n v="336"/>
    <x v="1"/>
    <s v="01-10-2026"/>
    <x v="0"/>
    <x v="2"/>
    <s v="20:56:53"/>
    <s v="21:11:48"/>
    <s v="21:15:00"/>
    <x v="148"/>
    <n v="3.21"/>
    <n v="3"/>
    <n v="1"/>
  </r>
  <r>
    <n v="337"/>
    <x v="0"/>
    <s v="01-10-2026"/>
    <x v="1"/>
    <x v="1"/>
    <s v="14:59:47"/>
    <s v="15:07:50"/>
    <s v="15:13:29"/>
    <x v="319"/>
    <n v="5.65"/>
    <n v="3"/>
    <n v="2"/>
  </r>
  <r>
    <n v="338"/>
    <x v="0"/>
    <s v="01-10-2026"/>
    <x v="0"/>
    <x v="1"/>
    <s v="13:59:21"/>
    <s v="14:09:40"/>
    <s v="14:13:04"/>
    <x v="320"/>
    <n v="3.4"/>
    <n v="4"/>
    <n v="2"/>
  </r>
  <r>
    <n v="339"/>
    <x v="2"/>
    <s v="01-10-2026"/>
    <x v="1"/>
    <x v="2"/>
    <s v="21:17:12"/>
    <s v="21:51:37"/>
    <s v="21:56:46"/>
    <x v="321"/>
    <n v="5.14"/>
    <n v="7"/>
    <n v="1"/>
  </r>
  <r>
    <n v="340"/>
    <x v="3"/>
    <s v="01-10-2026"/>
    <x v="0"/>
    <x v="0"/>
    <s v="21:41:16"/>
    <s v="21:51:25"/>
    <s v="21:59:25"/>
    <x v="322"/>
    <n v="7.99"/>
    <n v="5"/>
    <n v="3"/>
  </r>
  <r>
    <n v="341"/>
    <x v="1"/>
    <s v="01-10-2026"/>
    <x v="0"/>
    <x v="0"/>
    <s v="19:50:18"/>
    <s v="20:02:20"/>
    <s v="20:07:20"/>
    <x v="323"/>
    <n v="5"/>
    <n v="7"/>
    <n v="3"/>
  </r>
  <r>
    <n v="342"/>
    <x v="1"/>
    <s v="01-10-2026"/>
    <x v="0"/>
    <x v="0"/>
    <s v="20:52:27"/>
    <s v="21:03:42"/>
    <s v="21:10:15"/>
    <x v="324"/>
    <n v="6.56"/>
    <n v="5"/>
    <n v="3"/>
  </r>
  <r>
    <n v="343"/>
    <x v="3"/>
    <s v="01-10-2026"/>
    <x v="0"/>
    <x v="1"/>
    <s v="13:11:08"/>
    <s v="13:39:32"/>
    <s v="13:47:17"/>
    <x v="325"/>
    <n v="7.76"/>
    <n v="7"/>
    <n v="2"/>
  </r>
  <r>
    <n v="344"/>
    <x v="3"/>
    <s v="01-10-2026"/>
    <x v="0"/>
    <x v="2"/>
    <s v="18:24:15"/>
    <s v="18:39:40"/>
    <s v="18:47:10"/>
    <x v="326"/>
    <n v="7.5"/>
    <n v="4"/>
    <n v="2"/>
  </r>
  <r>
    <n v="345"/>
    <x v="3"/>
    <s v="01-10-2026"/>
    <x v="1"/>
    <x v="1"/>
    <s v="12:16:41"/>
    <s v="13:09:30"/>
    <s v="13:20:20"/>
    <x v="327"/>
    <n v="10.82"/>
    <n v="10"/>
    <n v="2"/>
  </r>
  <r>
    <n v="346"/>
    <x v="1"/>
    <s v="01-10-2026"/>
    <x v="0"/>
    <x v="0"/>
    <s v="13:29:19"/>
    <s v="13:52:37"/>
    <s v="13:58:04"/>
    <x v="328"/>
    <n v="5.46"/>
    <n v="5"/>
    <n v="1"/>
  </r>
  <r>
    <n v="347"/>
    <x v="2"/>
    <s v="01-10-2026"/>
    <x v="1"/>
    <x v="0"/>
    <s v="13:40:58"/>
    <s v="14:06:02"/>
    <s v="14:10:47"/>
    <x v="329"/>
    <n v="4.75"/>
    <n v="8"/>
    <n v="2"/>
  </r>
  <r>
    <n v="348"/>
    <x v="3"/>
    <s v="01-10-2026"/>
    <x v="0"/>
    <x v="2"/>
    <s v="14:30:09"/>
    <s v="14:46:26"/>
    <s v="14:51:01"/>
    <x v="330"/>
    <n v="4.58"/>
    <n v="5"/>
    <n v="2"/>
  </r>
  <r>
    <n v="349"/>
    <x v="3"/>
    <s v="01-10-2026"/>
    <x v="1"/>
    <x v="0"/>
    <s v="21:48:34"/>
    <s v="22:13:17"/>
    <s v="22:21:13"/>
    <x v="331"/>
    <n v="7.93"/>
    <n v="8"/>
    <n v="3"/>
  </r>
  <r>
    <n v="350"/>
    <x v="1"/>
    <s v="01-10-2026"/>
    <x v="0"/>
    <x v="0"/>
    <s v="13:33:28"/>
    <s v="13:42:14"/>
    <s v="13:45:45"/>
    <x v="332"/>
    <n v="3.52"/>
    <n v="5"/>
    <n v="3"/>
  </r>
  <r>
    <n v="351"/>
    <x v="3"/>
    <s v="01-10-2026"/>
    <x v="0"/>
    <x v="0"/>
    <s v="13:03:53"/>
    <s v="13:37:52"/>
    <s v="13:43:12"/>
    <x v="333"/>
    <n v="5.33"/>
    <n v="13"/>
    <n v="3"/>
  </r>
  <r>
    <n v="352"/>
    <x v="1"/>
    <s v="01-10-2026"/>
    <x v="0"/>
    <x v="2"/>
    <s v="19:54:33"/>
    <s v="20:13:15"/>
    <s v="20:16:49"/>
    <x v="334"/>
    <n v="3.57"/>
    <n v="8"/>
    <n v="2"/>
  </r>
  <r>
    <n v="353"/>
    <x v="0"/>
    <s v="01-10-2026"/>
    <x v="0"/>
    <x v="0"/>
    <s v="21:05:57"/>
    <s v="21:11:26"/>
    <s v="21:16:22"/>
    <x v="335"/>
    <n v="4.9400000000000004"/>
    <n v="3"/>
    <n v="3"/>
  </r>
  <r>
    <n v="354"/>
    <x v="2"/>
    <s v="01-10-2026"/>
    <x v="0"/>
    <x v="1"/>
    <s v="14:32:26"/>
    <s v="14:39:10"/>
    <s v="14:43:06"/>
    <x v="336"/>
    <n v="3.94"/>
    <n v="3"/>
    <n v="2"/>
  </r>
  <r>
    <n v="355"/>
    <x v="0"/>
    <s v="01-10-2026"/>
    <x v="1"/>
    <x v="0"/>
    <s v="18:46:01"/>
    <s v="18:51:11"/>
    <s v="18:55:28"/>
    <x v="337"/>
    <n v="4.2699999999999996"/>
    <n v="3"/>
    <n v="2"/>
  </r>
  <r>
    <n v="356"/>
    <x v="3"/>
    <s v="01-10-2026"/>
    <x v="0"/>
    <x v="0"/>
    <s v="17:37:04"/>
    <s v="18:53:20"/>
    <s v="19:00:34"/>
    <x v="338"/>
    <n v="7.23"/>
    <n v="10"/>
    <n v="1"/>
  </r>
  <r>
    <n v="357"/>
    <x v="2"/>
    <s v="01-10-2026"/>
    <x v="1"/>
    <x v="0"/>
    <s v="13:34:03"/>
    <s v="13:54:47"/>
    <s v="13:59:54"/>
    <x v="104"/>
    <n v="5.1100000000000003"/>
    <n v="4"/>
    <n v="1"/>
  </r>
  <r>
    <n v="358"/>
    <x v="2"/>
    <s v="01-10-2026"/>
    <x v="0"/>
    <x v="1"/>
    <s v="20:11:49"/>
    <s v="20:37:22"/>
    <s v="20:42:31"/>
    <x v="19"/>
    <n v="5.15"/>
    <n v="5"/>
    <n v="1"/>
  </r>
  <r>
    <n v="359"/>
    <x v="2"/>
    <s v="01-10-2026"/>
    <x v="1"/>
    <x v="1"/>
    <s v="21:55:58"/>
    <s v="22:16:33"/>
    <s v="22:22:55"/>
    <x v="339"/>
    <n v="6.37"/>
    <n v="6"/>
    <n v="2"/>
  </r>
  <r>
    <n v="360"/>
    <x v="2"/>
    <s v="01-10-2026"/>
    <x v="0"/>
    <x v="0"/>
    <s v="14:41:55"/>
    <s v="14:54:31"/>
    <s v="14:59:03"/>
    <x v="340"/>
    <n v="4.54"/>
    <n v="6"/>
    <n v="2"/>
  </r>
  <r>
    <n v="361"/>
    <x v="0"/>
    <s v="01-10-2026"/>
    <x v="0"/>
    <x v="0"/>
    <s v="20:33:08"/>
    <s v="20:38:05"/>
    <s v="20:43:03"/>
    <x v="341"/>
    <n v="4.97"/>
    <n v="4"/>
    <n v="3"/>
  </r>
  <r>
    <n v="362"/>
    <x v="1"/>
    <s v="01-10-2026"/>
    <x v="0"/>
    <x v="2"/>
    <s v="18:29:43"/>
    <s v="18:37:31"/>
    <s v="18:41:31"/>
    <x v="342"/>
    <n v="4.01"/>
    <n v="4"/>
    <n v="3"/>
  </r>
  <r>
    <n v="363"/>
    <x v="2"/>
    <s v="01-10-2026"/>
    <x v="1"/>
    <x v="2"/>
    <s v="17:29:22"/>
    <s v="17:52:25"/>
    <s v="17:57:02"/>
    <x v="343"/>
    <n v="4.62"/>
    <n v="5"/>
    <n v="1"/>
  </r>
  <r>
    <n v="364"/>
    <x v="3"/>
    <s v="01-10-2026"/>
    <x v="0"/>
    <x v="0"/>
    <s v="13:02:51"/>
    <s v="13:16:17"/>
    <s v="13:22:37"/>
    <x v="344"/>
    <n v="6.34"/>
    <n v="5"/>
    <n v="3"/>
  </r>
  <r>
    <n v="365"/>
    <x v="2"/>
    <s v="01-10-2026"/>
    <x v="0"/>
    <x v="2"/>
    <s v="17:04:06"/>
    <s v="17:06:19"/>
    <s v="17:11:00"/>
    <x v="345"/>
    <n v="4.67"/>
    <n v="1"/>
    <n v="3"/>
  </r>
  <r>
    <n v="366"/>
    <x v="0"/>
    <s v="01-10-2026"/>
    <x v="1"/>
    <x v="0"/>
    <s v="12:15:47"/>
    <s v="12:43:02"/>
    <s v="12:47:56"/>
    <x v="346"/>
    <n v="4.8899999999999997"/>
    <n v="6"/>
    <n v="1"/>
  </r>
  <r>
    <n v="367"/>
    <x v="2"/>
    <s v="01-10-2026"/>
    <x v="1"/>
    <x v="2"/>
    <s v="17:48:55"/>
    <s v="18:18:01"/>
    <s v="18:23:07"/>
    <x v="347"/>
    <n v="5.1100000000000003"/>
    <n v="6"/>
    <n v="1"/>
  </r>
  <r>
    <n v="368"/>
    <x v="1"/>
    <s v="01-10-2026"/>
    <x v="1"/>
    <x v="2"/>
    <s v="19:36:38"/>
    <s v="19:50:05"/>
    <s v="19:54:28"/>
    <x v="102"/>
    <n v="4.3899999999999997"/>
    <n v="8"/>
    <n v="3"/>
  </r>
  <r>
    <n v="369"/>
    <x v="3"/>
    <s v="01-10-2026"/>
    <x v="0"/>
    <x v="1"/>
    <s v="14:42:33"/>
    <s v="15:31:53"/>
    <s v="15:41:51"/>
    <x v="348"/>
    <n v="9.9700000000000006"/>
    <n v="6"/>
    <n v="1"/>
  </r>
  <r>
    <n v="370"/>
    <x v="2"/>
    <s v="01-10-2026"/>
    <x v="1"/>
    <x v="1"/>
    <s v="12:35:37"/>
    <s v="12:55:14"/>
    <s v="13:00:31"/>
    <x v="349"/>
    <n v="5.29"/>
    <n v="9"/>
    <n v="3"/>
  </r>
  <r>
    <n v="371"/>
    <x v="1"/>
    <s v="01-10-2026"/>
    <x v="1"/>
    <x v="0"/>
    <s v="21:03:22"/>
    <s v="21:18:30"/>
    <s v="21:26:08"/>
    <x v="350"/>
    <n v="7.64"/>
    <n v="8"/>
    <n v="3"/>
  </r>
  <r>
    <n v="372"/>
    <x v="2"/>
    <s v="01-10-2026"/>
    <x v="1"/>
    <x v="0"/>
    <s v="20:26:09"/>
    <s v="20:32:11"/>
    <s v="20:36:09"/>
    <x v="351"/>
    <n v="3.96"/>
    <n v="2"/>
    <n v="2"/>
  </r>
  <r>
    <n v="373"/>
    <x v="2"/>
    <s v="01-10-2026"/>
    <x v="0"/>
    <x v="0"/>
    <s v="21:15:54"/>
    <s v="21:26:06"/>
    <s v="21:30:25"/>
    <x v="352"/>
    <n v="4.3099999999999996"/>
    <n v="2"/>
    <n v="1"/>
  </r>
  <r>
    <n v="374"/>
    <x v="3"/>
    <s v="01-10-2026"/>
    <x v="0"/>
    <x v="1"/>
    <s v="12:35:26"/>
    <s v="13:10:22"/>
    <s v="13:19:26"/>
    <x v="353"/>
    <n v="9.06"/>
    <n v="8"/>
    <n v="2"/>
  </r>
  <r>
    <n v="375"/>
    <x v="1"/>
    <s v="01-10-2026"/>
    <x v="1"/>
    <x v="2"/>
    <s v="18:13:21"/>
    <s v="18:22:22"/>
    <s v="18:27:10"/>
    <x v="354"/>
    <n v="4.8"/>
    <n v="4"/>
    <n v="3"/>
  </r>
  <r>
    <n v="376"/>
    <x v="0"/>
    <s v="01-10-2026"/>
    <x v="1"/>
    <x v="1"/>
    <s v="13:34:46"/>
    <s v="13:57:32"/>
    <s v="14:04:19"/>
    <x v="355"/>
    <n v="6.79"/>
    <n v="4"/>
    <n v="1"/>
  </r>
  <r>
    <n v="377"/>
    <x v="0"/>
    <s v="01-10-2026"/>
    <x v="1"/>
    <x v="1"/>
    <s v="12:55:04"/>
    <s v="13:33:30"/>
    <s v="13:38:59"/>
    <x v="356"/>
    <n v="5.48"/>
    <n v="7"/>
    <n v="1"/>
  </r>
  <r>
    <n v="378"/>
    <x v="1"/>
    <s v="01-10-2026"/>
    <x v="1"/>
    <x v="2"/>
    <s v="19:19:58"/>
    <s v="20:00:57"/>
    <s v="20:06:29"/>
    <x v="357"/>
    <n v="5.54"/>
    <n v="8"/>
    <n v="1"/>
  </r>
  <r>
    <n v="379"/>
    <x v="1"/>
    <s v="01-10-2026"/>
    <x v="0"/>
    <x v="0"/>
    <s v="13:47:48"/>
    <s v="14:07:42"/>
    <s v="14:14:03"/>
    <x v="358"/>
    <n v="6.35"/>
    <n v="7"/>
    <n v="2"/>
  </r>
  <r>
    <n v="380"/>
    <x v="1"/>
    <s v="01-10-2026"/>
    <x v="0"/>
    <x v="1"/>
    <s v="17:35:20"/>
    <s v="17:56:24"/>
    <s v="18:01:14"/>
    <x v="359"/>
    <n v="4.83"/>
    <n v="7"/>
    <n v="2"/>
  </r>
  <r>
    <n v="381"/>
    <x v="2"/>
    <s v="01-10-2026"/>
    <x v="1"/>
    <x v="0"/>
    <s v="19:19:16"/>
    <s v="19:38:09"/>
    <s v="19:44:31"/>
    <x v="360"/>
    <n v="6.37"/>
    <n v="6"/>
    <n v="2"/>
  </r>
  <r>
    <n v="382"/>
    <x v="2"/>
    <s v="01-10-2026"/>
    <x v="1"/>
    <x v="2"/>
    <s v="21:48:53"/>
    <s v="22:06:15"/>
    <s v="22:10:51"/>
    <x v="361"/>
    <n v="4.5999999999999996"/>
    <n v="7"/>
    <n v="2"/>
  </r>
  <r>
    <n v="383"/>
    <x v="1"/>
    <s v="01-10-2026"/>
    <x v="1"/>
    <x v="1"/>
    <s v="20:02:36"/>
    <s v="20:29:28"/>
    <s v="20:36:20"/>
    <x v="362"/>
    <n v="6.87"/>
    <n v="4"/>
    <n v="1"/>
  </r>
  <r>
    <n v="384"/>
    <x v="1"/>
    <s v="01-10-2026"/>
    <x v="0"/>
    <x v="1"/>
    <s v="20:18:09"/>
    <s v="21:11:13"/>
    <s v="21:17:09"/>
    <x v="363"/>
    <n v="5.92"/>
    <n v="9"/>
    <n v="1"/>
  </r>
  <r>
    <n v="385"/>
    <x v="3"/>
    <s v="01-10-2026"/>
    <x v="0"/>
    <x v="1"/>
    <s v="17:31:35"/>
    <s v="17:55:56"/>
    <s v="18:04:12"/>
    <x v="364"/>
    <n v="8.27"/>
    <n v="9"/>
    <n v="3"/>
  </r>
  <r>
    <n v="386"/>
    <x v="3"/>
    <s v="01-10-2026"/>
    <x v="1"/>
    <x v="1"/>
    <s v="21:29:10"/>
    <s v="21:50:14"/>
    <s v="22:00:08"/>
    <x v="365"/>
    <n v="9.91"/>
    <n v="7"/>
    <n v="3"/>
  </r>
  <r>
    <n v="387"/>
    <x v="3"/>
    <s v="01-10-2026"/>
    <x v="0"/>
    <x v="2"/>
    <s v="21:11:58"/>
    <s v="21:26:16"/>
    <s v="21:32:07"/>
    <x v="366"/>
    <n v="5.85"/>
    <n v="6"/>
    <n v="3"/>
  </r>
  <r>
    <n v="388"/>
    <x v="0"/>
    <s v="01-10-2026"/>
    <x v="0"/>
    <x v="2"/>
    <s v="12:48:00"/>
    <s v="12:50:55"/>
    <s v="12:53:51"/>
    <x v="367"/>
    <n v="2.92"/>
    <n v="2"/>
    <n v="2"/>
  </r>
  <r>
    <n v="389"/>
    <x v="1"/>
    <s v="01-10-2026"/>
    <x v="0"/>
    <x v="2"/>
    <s v="14:00:13"/>
    <s v="14:04:08"/>
    <s v="14:08:58"/>
    <x v="368"/>
    <n v="4.83"/>
    <n v="3"/>
    <n v="3"/>
  </r>
  <r>
    <n v="390"/>
    <x v="2"/>
    <s v="01-10-2026"/>
    <x v="1"/>
    <x v="2"/>
    <s v="21:42:31"/>
    <s v="21:54:02"/>
    <s v="21:58:41"/>
    <x v="369"/>
    <n v="4.6500000000000004"/>
    <n v="3"/>
    <n v="1"/>
  </r>
  <r>
    <n v="391"/>
    <x v="0"/>
    <s v="01-10-2026"/>
    <x v="1"/>
    <x v="2"/>
    <s v="12:33:46"/>
    <s v="12:42:07"/>
    <s v="12:47:06"/>
    <x v="370"/>
    <n v="4.9800000000000004"/>
    <n v="5"/>
    <n v="2"/>
  </r>
  <r>
    <n v="392"/>
    <x v="3"/>
    <s v="01-10-2026"/>
    <x v="0"/>
    <x v="0"/>
    <s v="20:51:58"/>
    <s v="21:27:34"/>
    <s v="21:32:43"/>
    <x v="371"/>
    <n v="5.15"/>
    <n v="5"/>
    <n v="1"/>
  </r>
  <r>
    <n v="393"/>
    <x v="0"/>
    <s v="01-10-2026"/>
    <x v="0"/>
    <x v="0"/>
    <s v="14:15:12"/>
    <s v="14:28:32"/>
    <s v="14:31:09"/>
    <x v="372"/>
    <n v="2.62"/>
    <n v="10"/>
    <n v="3"/>
  </r>
  <r>
    <n v="394"/>
    <x v="3"/>
    <s v="01-10-2026"/>
    <x v="1"/>
    <x v="1"/>
    <s v="20:05:23"/>
    <s v="21:13:09"/>
    <s v="21:23:14"/>
    <x v="373"/>
    <n v="10.08"/>
    <n v="13"/>
    <n v="2"/>
  </r>
  <r>
    <n v="395"/>
    <x v="2"/>
    <s v="01-10-2026"/>
    <x v="0"/>
    <x v="0"/>
    <s v="17:19:43"/>
    <s v="17:47:42"/>
    <s v="17:51:02"/>
    <x v="374"/>
    <n v="3.34"/>
    <n v="6"/>
    <n v="1"/>
  </r>
  <r>
    <n v="396"/>
    <x v="0"/>
    <s v="01-10-2026"/>
    <x v="0"/>
    <x v="1"/>
    <s v="20:24:35"/>
    <s v="20:34:37"/>
    <s v="20:39:34"/>
    <x v="375"/>
    <n v="4.95"/>
    <n v="5"/>
    <n v="2"/>
  </r>
  <r>
    <n v="397"/>
    <x v="0"/>
    <s v="01-10-2026"/>
    <x v="0"/>
    <x v="0"/>
    <s v="14:05:31"/>
    <s v="14:12:13"/>
    <s v="14:15:48"/>
    <x v="376"/>
    <n v="3.59"/>
    <n v="3"/>
    <n v="2"/>
  </r>
  <r>
    <n v="398"/>
    <x v="3"/>
    <s v="01-10-2026"/>
    <x v="0"/>
    <x v="0"/>
    <s v="12:14:13"/>
    <s v="12:35:55"/>
    <s v="12:43:35"/>
    <x v="377"/>
    <n v="7.67"/>
    <n v="8"/>
    <n v="3"/>
  </r>
  <r>
    <n v="399"/>
    <x v="2"/>
    <s v="01-10-2026"/>
    <x v="1"/>
    <x v="2"/>
    <s v="13:43:59"/>
    <s v="13:53:02"/>
    <s v="13:58:23"/>
    <x v="378"/>
    <n v="5.34"/>
    <n v="4"/>
    <n v="2"/>
  </r>
  <r>
    <n v="400"/>
    <x v="0"/>
    <s v="01-10-2026"/>
    <x v="0"/>
    <x v="1"/>
    <s v="12:13:37"/>
    <s v="12:18:36"/>
    <s v="12:23:32"/>
    <x v="292"/>
    <n v="4.93"/>
    <n v="1"/>
    <n v="1"/>
  </r>
  <r>
    <n v="401"/>
    <x v="2"/>
    <s v="01-10-2026"/>
    <x v="0"/>
    <x v="1"/>
    <s v="14:36:15"/>
    <s v="14:46:09"/>
    <s v="14:51:19"/>
    <x v="379"/>
    <n v="5.17"/>
    <n v="5"/>
    <n v="3"/>
  </r>
  <r>
    <n v="402"/>
    <x v="2"/>
    <s v="01-10-2026"/>
    <x v="1"/>
    <x v="1"/>
    <s v="14:50:44"/>
    <s v="14:56:52"/>
    <s v="15:04:00"/>
    <x v="380"/>
    <n v="7.13"/>
    <n v="3"/>
    <n v="3"/>
  </r>
  <r>
    <n v="403"/>
    <x v="0"/>
    <s v="01-10-2026"/>
    <x v="1"/>
    <x v="2"/>
    <s v="13:27:14"/>
    <s v="13:43:14"/>
    <s v="13:48:50"/>
    <x v="381"/>
    <n v="5.59"/>
    <n v="4"/>
    <n v="1"/>
  </r>
  <r>
    <n v="404"/>
    <x v="3"/>
    <s v="01-10-2026"/>
    <x v="1"/>
    <x v="1"/>
    <s v="12:40:17"/>
    <s v="13:51:28"/>
    <s v="13:59:29"/>
    <x v="382"/>
    <n v="8.01"/>
    <n v="14"/>
    <n v="2"/>
  </r>
  <r>
    <n v="405"/>
    <x v="2"/>
    <s v="01-10-2026"/>
    <x v="0"/>
    <x v="1"/>
    <s v="20:27:11"/>
    <s v="20:32:43"/>
    <s v="20:39:38"/>
    <x v="383"/>
    <n v="6.92"/>
    <n v="5"/>
    <n v="3"/>
  </r>
  <r>
    <n v="406"/>
    <x v="2"/>
    <s v="01-10-2026"/>
    <x v="0"/>
    <x v="0"/>
    <s v="18:51:15"/>
    <s v="18:51:59"/>
    <s v="18:56:17"/>
    <x v="384"/>
    <n v="4.3"/>
    <n v="2"/>
    <n v="3"/>
  </r>
  <r>
    <n v="407"/>
    <x v="0"/>
    <s v="01-10-2026"/>
    <x v="0"/>
    <x v="1"/>
    <s v="14:24:45"/>
    <s v="14:25:30"/>
    <s v="14:30:48"/>
    <x v="385"/>
    <n v="5.3"/>
    <n v="2"/>
    <n v="3"/>
  </r>
  <r>
    <n v="408"/>
    <x v="1"/>
    <s v="01-10-2026"/>
    <x v="1"/>
    <x v="1"/>
    <s v="19:06:05"/>
    <s v="19:56:15"/>
    <s v="20:05:07"/>
    <x v="386"/>
    <n v="8.8699999999999992"/>
    <n v="7"/>
    <n v="1"/>
  </r>
  <r>
    <n v="409"/>
    <x v="3"/>
    <s v="01-10-2026"/>
    <x v="1"/>
    <x v="1"/>
    <s v="18:06:08"/>
    <s v="20:48:31"/>
    <s v="20:59:57"/>
    <x v="387"/>
    <n v="11.44"/>
    <n v="16"/>
    <n v="1"/>
  </r>
  <r>
    <n v="410"/>
    <x v="1"/>
    <s v="01-10-2026"/>
    <x v="1"/>
    <x v="1"/>
    <s v="20:06:01"/>
    <s v="20:57:31"/>
    <s v="21:05:32"/>
    <x v="388"/>
    <n v="8.01"/>
    <n v="7"/>
    <n v="1"/>
  </r>
  <r>
    <n v="411"/>
    <x v="3"/>
    <s v="01-10-2026"/>
    <x v="0"/>
    <x v="0"/>
    <s v="19:55:24"/>
    <s v="20:56:41"/>
    <s v="21:05:12"/>
    <x v="389"/>
    <n v="8.51"/>
    <n v="8"/>
    <n v="1"/>
  </r>
  <r>
    <n v="412"/>
    <x v="3"/>
    <s v="01-10-2026"/>
    <x v="1"/>
    <x v="1"/>
    <s v="13:46:57"/>
    <s v="14:13:49"/>
    <s v="14:23:10"/>
    <x v="390"/>
    <n v="9.34"/>
    <n v="8"/>
    <n v="3"/>
  </r>
  <r>
    <n v="413"/>
    <x v="1"/>
    <s v="01-10-2026"/>
    <x v="0"/>
    <x v="0"/>
    <s v="20:10:08"/>
    <s v="20:21:25"/>
    <s v="20:26:53"/>
    <x v="391"/>
    <n v="5.47"/>
    <n v="5"/>
    <n v="2"/>
  </r>
  <r>
    <n v="414"/>
    <x v="3"/>
    <s v="01-10-2026"/>
    <x v="1"/>
    <x v="1"/>
    <s v="14:04:10"/>
    <s v="15:38:01"/>
    <s v="15:48:10"/>
    <x v="392"/>
    <n v="10.15"/>
    <n v="19"/>
    <n v="2"/>
  </r>
  <r>
    <n v="415"/>
    <x v="3"/>
    <s v="01-10-2026"/>
    <x v="1"/>
    <x v="1"/>
    <s v="21:50:04"/>
    <s v="22:42:00"/>
    <s v="22:52:58"/>
    <x v="393"/>
    <n v="10.96"/>
    <n v="10"/>
    <n v="2"/>
  </r>
  <r>
    <n v="416"/>
    <x v="3"/>
    <s v="01-10-2026"/>
    <x v="0"/>
    <x v="0"/>
    <s v="21:38:39"/>
    <s v="22:16:58"/>
    <s v="22:23:20"/>
    <x v="394"/>
    <n v="6.36"/>
    <n v="5"/>
    <n v="1"/>
  </r>
  <r>
    <n v="417"/>
    <x v="2"/>
    <s v="01-10-2026"/>
    <x v="0"/>
    <x v="2"/>
    <s v="18:00:25"/>
    <s v="18:13:40"/>
    <s v="18:17:10"/>
    <x v="395"/>
    <n v="3.51"/>
    <n v="7"/>
    <n v="2"/>
  </r>
  <r>
    <n v="418"/>
    <x v="2"/>
    <s v="01-10-2026"/>
    <x v="1"/>
    <x v="1"/>
    <s v="19:27:52"/>
    <s v="19:37:28"/>
    <s v="19:43:38"/>
    <x v="223"/>
    <n v="6.17"/>
    <n v="6"/>
    <n v="3"/>
  </r>
  <r>
    <n v="419"/>
    <x v="1"/>
    <s v="01-10-2026"/>
    <x v="1"/>
    <x v="1"/>
    <s v="17:30:20"/>
    <s v="18:13:44"/>
    <s v="18:22:00"/>
    <x v="396"/>
    <n v="8.27"/>
    <n v="6"/>
    <n v="1"/>
  </r>
  <r>
    <n v="420"/>
    <x v="2"/>
    <s v="01-10-2026"/>
    <x v="1"/>
    <x v="1"/>
    <s v="21:36:50"/>
    <s v="22:21:12"/>
    <s v="22:27:57"/>
    <x v="291"/>
    <n v="6.75"/>
    <n v="7"/>
    <n v="1"/>
  </r>
  <r>
    <n v="421"/>
    <x v="3"/>
    <s v="01-10-2026"/>
    <x v="1"/>
    <x v="1"/>
    <s v="20:23:07"/>
    <s v="20:38:28"/>
    <s v="20:48:31"/>
    <x v="397"/>
    <n v="10.039999999999999"/>
    <n v="5"/>
    <n v="3"/>
  </r>
  <r>
    <n v="422"/>
    <x v="1"/>
    <s v="01-10-2026"/>
    <x v="0"/>
    <x v="0"/>
    <s v="12:46:29"/>
    <s v="12:55:44"/>
    <s v="13:03:00"/>
    <x v="398"/>
    <n v="7.26"/>
    <n v="5"/>
    <n v="3"/>
  </r>
  <r>
    <n v="423"/>
    <x v="1"/>
    <s v="01-10-2026"/>
    <x v="1"/>
    <x v="1"/>
    <s v="13:52:54"/>
    <s v="14:17:22"/>
    <s v="14:24:50"/>
    <x v="399"/>
    <n v="7.47"/>
    <n v="7"/>
    <n v="2"/>
  </r>
  <r>
    <n v="424"/>
    <x v="2"/>
    <s v="01-10-2026"/>
    <x v="0"/>
    <x v="0"/>
    <s v="18:15:16"/>
    <s v="18:17:43"/>
    <s v="18:24:12"/>
    <x v="400"/>
    <n v="6.49"/>
    <n v="2"/>
    <n v="3"/>
  </r>
  <r>
    <n v="425"/>
    <x v="1"/>
    <s v="01-10-2026"/>
    <x v="1"/>
    <x v="1"/>
    <s v="13:28:38"/>
    <s v="13:58:26"/>
    <s v="14:04:56"/>
    <x v="401"/>
    <n v="6.5"/>
    <n v="8"/>
    <n v="2"/>
  </r>
  <r>
    <n v="426"/>
    <x v="2"/>
    <s v="01-10-2026"/>
    <x v="1"/>
    <x v="0"/>
    <s v="12:50:23"/>
    <s v="12:57:45"/>
    <s v="13:03:12"/>
    <x v="155"/>
    <n v="5.46"/>
    <n v="3"/>
    <n v="3"/>
  </r>
  <r>
    <n v="427"/>
    <x v="0"/>
    <s v="01-10-2026"/>
    <x v="0"/>
    <x v="2"/>
    <s v="19:10:41"/>
    <s v="19:12:32"/>
    <s v="19:15:39"/>
    <x v="402"/>
    <n v="3.11"/>
    <n v="4"/>
    <n v="3"/>
  </r>
  <r>
    <n v="428"/>
    <x v="0"/>
    <s v="01-10-2026"/>
    <x v="1"/>
    <x v="1"/>
    <s v="20:06:00"/>
    <s v="20:29:34"/>
    <s v="20:34:22"/>
    <x v="403"/>
    <n v="4.8"/>
    <n v="5"/>
    <n v="1"/>
  </r>
  <r>
    <n v="429"/>
    <x v="3"/>
    <s v="01-10-2026"/>
    <x v="0"/>
    <x v="0"/>
    <s v="17:28:23"/>
    <s v="17:55:27"/>
    <s v="18:03:05"/>
    <x v="404"/>
    <n v="7.63"/>
    <n v="7"/>
    <n v="2"/>
  </r>
  <r>
    <n v="430"/>
    <x v="2"/>
    <s v="01-10-2026"/>
    <x v="0"/>
    <x v="1"/>
    <s v="12:30:06"/>
    <s v="12:41:06"/>
    <s v="12:46:43"/>
    <x v="405"/>
    <n v="5.63"/>
    <n v="4"/>
    <n v="2"/>
  </r>
  <r>
    <n v="431"/>
    <x v="2"/>
    <s v="01-10-2026"/>
    <x v="0"/>
    <x v="2"/>
    <s v="14:22:19"/>
    <s v="14:26:43"/>
    <s v="14:28:55"/>
    <x v="406"/>
    <n v="2.21"/>
    <n v="3"/>
    <n v="2"/>
  </r>
  <r>
    <n v="432"/>
    <x v="2"/>
    <s v="01-10-2026"/>
    <x v="0"/>
    <x v="0"/>
    <s v="21:22:30"/>
    <s v="21:41:22"/>
    <s v="21:45:39"/>
    <x v="407"/>
    <n v="4.2699999999999996"/>
    <n v="4"/>
    <n v="1"/>
  </r>
  <r>
    <n v="433"/>
    <x v="2"/>
    <s v="01-10-2026"/>
    <x v="1"/>
    <x v="1"/>
    <s v="13:19:02"/>
    <s v="13:27:22"/>
    <s v="13:32:02"/>
    <x v="408"/>
    <n v="4.66"/>
    <n v="4"/>
    <n v="3"/>
  </r>
  <r>
    <n v="434"/>
    <x v="0"/>
    <s v="01-10-2026"/>
    <x v="0"/>
    <x v="1"/>
    <s v="13:43:51"/>
    <s v="14:28:15"/>
    <s v="14:34:37"/>
    <x v="409"/>
    <n v="6.37"/>
    <n v="10"/>
    <n v="1"/>
  </r>
  <r>
    <n v="435"/>
    <x v="1"/>
    <s v="01-10-2026"/>
    <x v="0"/>
    <x v="0"/>
    <s v="14:21:35"/>
    <s v="14:39:24"/>
    <s v="14:44:53"/>
    <x v="410"/>
    <n v="5.48"/>
    <n v="7"/>
    <n v="2"/>
  </r>
  <r>
    <n v="436"/>
    <x v="2"/>
    <s v="01-10-2026"/>
    <x v="0"/>
    <x v="1"/>
    <s v="14:11:40"/>
    <s v="14:24:19"/>
    <s v="14:28:50"/>
    <x v="411"/>
    <n v="4.51"/>
    <n v="6"/>
    <n v="3"/>
  </r>
  <r>
    <n v="437"/>
    <x v="2"/>
    <s v="01-10-2026"/>
    <x v="1"/>
    <x v="2"/>
    <s v="17:28:37"/>
    <s v="17:50:17"/>
    <s v="17:56:09"/>
    <x v="412"/>
    <n v="5.87"/>
    <n v="8"/>
    <n v="2"/>
  </r>
  <r>
    <n v="438"/>
    <x v="2"/>
    <s v="01-10-2026"/>
    <x v="0"/>
    <x v="0"/>
    <s v="17:13:17"/>
    <s v="17:18:20"/>
    <s v="17:21:54"/>
    <x v="413"/>
    <n v="3.57"/>
    <n v="4"/>
    <n v="3"/>
  </r>
  <r>
    <n v="439"/>
    <x v="0"/>
    <s v="01-10-2026"/>
    <x v="0"/>
    <x v="0"/>
    <s v="14:23:20"/>
    <s v="14:37:39"/>
    <s v="14:41:12"/>
    <x v="414"/>
    <n v="3.55"/>
    <n v="3"/>
    <n v="1"/>
  </r>
  <r>
    <n v="440"/>
    <x v="2"/>
    <s v="01-10-2026"/>
    <x v="0"/>
    <x v="1"/>
    <s v="21:33:40"/>
    <s v="21:39:46"/>
    <s v="21:45:18"/>
    <x v="415"/>
    <n v="5.54"/>
    <n v="3"/>
    <n v="2"/>
  </r>
  <r>
    <n v="441"/>
    <x v="2"/>
    <s v="01-10-2026"/>
    <x v="1"/>
    <x v="0"/>
    <s v="13:22:22"/>
    <s v="13:34:08"/>
    <s v="13:39:18"/>
    <x v="416"/>
    <n v="5.16"/>
    <n v="4"/>
    <n v="2"/>
  </r>
  <r>
    <n v="442"/>
    <x v="1"/>
    <s v="01-10-2026"/>
    <x v="1"/>
    <x v="0"/>
    <s v="13:43:08"/>
    <s v="13:49:35"/>
    <s v="13:57:06"/>
    <x v="417"/>
    <n v="7.53"/>
    <n v="3"/>
    <n v="2"/>
  </r>
  <r>
    <n v="443"/>
    <x v="0"/>
    <s v="01-10-2026"/>
    <x v="0"/>
    <x v="1"/>
    <s v="13:11:23"/>
    <s v="13:13:24"/>
    <s v="13:18:57"/>
    <x v="418"/>
    <n v="5.55"/>
    <n v="2"/>
    <n v="3"/>
  </r>
  <r>
    <n v="444"/>
    <x v="1"/>
    <s v="01-10-2026"/>
    <x v="1"/>
    <x v="1"/>
    <s v="14:36:24"/>
    <s v="15:00:36"/>
    <s v="15:08:24"/>
    <x v="419"/>
    <n v="7.8"/>
    <n v="7"/>
    <n v="2"/>
  </r>
  <r>
    <n v="445"/>
    <x v="1"/>
    <s v="01-10-2026"/>
    <x v="1"/>
    <x v="0"/>
    <s v="14:35:10"/>
    <s v="14:51:38"/>
    <s v="14:57:18"/>
    <x v="420"/>
    <n v="5.66"/>
    <n v="5"/>
    <n v="2"/>
  </r>
  <r>
    <n v="446"/>
    <x v="3"/>
    <s v="01-10-2026"/>
    <x v="0"/>
    <x v="2"/>
    <s v="19:53:28"/>
    <s v="20:05:19"/>
    <s v="20:11:02"/>
    <x v="200"/>
    <n v="5.72"/>
    <n v="5"/>
    <n v="3"/>
  </r>
  <r>
    <n v="447"/>
    <x v="0"/>
    <s v="01-10-2026"/>
    <x v="1"/>
    <x v="2"/>
    <s v="21:08:12"/>
    <s v="21:10:50"/>
    <s v="21:13:24"/>
    <x v="421"/>
    <n v="2.57"/>
    <n v="2"/>
    <n v="2"/>
  </r>
  <r>
    <n v="448"/>
    <x v="2"/>
    <s v="01-10-2026"/>
    <x v="1"/>
    <x v="0"/>
    <s v="21:26:45"/>
    <s v="21:42:06"/>
    <s v="21:46:16"/>
    <x v="422"/>
    <n v="4.17"/>
    <n v="6"/>
    <n v="2"/>
  </r>
  <r>
    <n v="449"/>
    <x v="2"/>
    <s v="01-10-2026"/>
    <x v="0"/>
    <x v="2"/>
    <s v="12:50:48"/>
    <s v="12:58:39"/>
    <s v="13:02:14"/>
    <x v="423"/>
    <n v="3.58"/>
    <n v="2"/>
    <n v="1"/>
  </r>
  <r>
    <n v="450"/>
    <x v="3"/>
    <s v="01-10-2026"/>
    <x v="0"/>
    <x v="1"/>
    <s v="17:34:18"/>
    <s v="18:51:48"/>
    <s v="19:00:46"/>
    <x v="424"/>
    <n v="8.9700000000000006"/>
    <n v="9"/>
    <n v="1"/>
  </r>
  <r>
    <n v="451"/>
    <x v="2"/>
    <s v="01-10-2026"/>
    <x v="1"/>
    <x v="0"/>
    <s v="13:36:07"/>
    <s v="13:56:46"/>
    <s v="14:04:07"/>
    <x v="425"/>
    <n v="7.35"/>
    <n v="7"/>
    <n v="2"/>
  </r>
  <r>
    <n v="452"/>
    <x v="3"/>
    <s v="01-10-2026"/>
    <x v="0"/>
    <x v="0"/>
    <s v="21:34:13"/>
    <s v="22:08:08"/>
    <s v="22:16:02"/>
    <x v="147"/>
    <n v="7.9"/>
    <n v="9"/>
    <n v="2"/>
  </r>
  <r>
    <n v="453"/>
    <x v="0"/>
    <s v="01-10-2026"/>
    <x v="0"/>
    <x v="1"/>
    <s v="12:28:16"/>
    <s v="12:33:40"/>
    <s v="12:37:32"/>
    <x v="426"/>
    <n v="3.87"/>
    <n v="3"/>
    <n v="2"/>
  </r>
  <r>
    <n v="454"/>
    <x v="0"/>
    <s v="01-10-2026"/>
    <x v="1"/>
    <x v="2"/>
    <s v="17:13:51"/>
    <s v="17:18:46"/>
    <s v="17:23:51"/>
    <x v="427"/>
    <n v="5.09"/>
    <n v="4"/>
    <n v="3"/>
  </r>
  <r>
    <n v="455"/>
    <x v="3"/>
    <s v="01-10-2026"/>
    <x v="1"/>
    <x v="2"/>
    <s v="14:50:13"/>
    <s v="16:10:16"/>
    <s v="16:18:46"/>
    <x v="428"/>
    <n v="8.5"/>
    <n v="10"/>
    <n v="1"/>
  </r>
  <r>
    <n v="456"/>
    <x v="0"/>
    <s v="01-10-2026"/>
    <x v="1"/>
    <x v="0"/>
    <s v="18:38:34"/>
    <s v="18:49:50"/>
    <s v="18:54:59"/>
    <x v="225"/>
    <n v="5.16"/>
    <n v="2"/>
    <n v="1"/>
  </r>
  <r>
    <n v="457"/>
    <x v="3"/>
    <s v="01-10-2026"/>
    <x v="1"/>
    <x v="1"/>
    <s v="18:54:32"/>
    <s v="19:21:15"/>
    <s v="19:31:56"/>
    <x v="429"/>
    <n v="10.67"/>
    <n v="8"/>
    <n v="3"/>
  </r>
  <r>
    <n v="458"/>
    <x v="0"/>
    <s v="01-10-2026"/>
    <x v="0"/>
    <x v="1"/>
    <s v="12:17:55"/>
    <s v="12:19:09"/>
    <s v="12:23:23"/>
    <x v="430"/>
    <n v="4.2300000000000004"/>
    <n v="1"/>
    <n v="3"/>
  </r>
  <r>
    <n v="459"/>
    <x v="1"/>
    <s v="01-10-2026"/>
    <x v="0"/>
    <x v="2"/>
    <s v="14:45:20"/>
    <s v="14:52:24"/>
    <s v="14:57:06"/>
    <x v="311"/>
    <n v="4.6900000000000004"/>
    <n v="2"/>
    <n v="1"/>
  </r>
  <r>
    <n v="460"/>
    <x v="2"/>
    <s v="01-10-2026"/>
    <x v="1"/>
    <x v="2"/>
    <s v="18:40:26"/>
    <s v="18:52:27"/>
    <s v="19:00:07"/>
    <x v="431"/>
    <n v="7.67"/>
    <n v="5"/>
    <n v="2"/>
  </r>
  <r>
    <n v="461"/>
    <x v="2"/>
    <s v="01-10-2026"/>
    <x v="0"/>
    <x v="0"/>
    <s v="13:25:32"/>
    <s v="13:26:02"/>
    <s v="13:31:41"/>
    <x v="21"/>
    <n v="5.66"/>
    <n v="1"/>
    <n v="3"/>
  </r>
  <r>
    <n v="462"/>
    <x v="3"/>
    <s v="01-10-2026"/>
    <x v="1"/>
    <x v="1"/>
    <s v="21:20:37"/>
    <s v="23:53:22"/>
    <s v="00:02:47"/>
    <x v="432"/>
    <n v="9.41"/>
    <n v="15"/>
    <n v="1"/>
  </r>
  <r>
    <n v="463"/>
    <x v="0"/>
    <s v="01-10-2026"/>
    <x v="1"/>
    <x v="0"/>
    <s v="19:54:04"/>
    <s v="20:07:14"/>
    <s v="20:11:21"/>
    <x v="433"/>
    <n v="4.12"/>
    <n v="9"/>
    <n v="3"/>
  </r>
  <r>
    <n v="464"/>
    <x v="2"/>
    <s v="01-10-2026"/>
    <x v="0"/>
    <x v="1"/>
    <s v="17:31:17"/>
    <s v="17:37:43"/>
    <s v="17:44:05"/>
    <x v="434"/>
    <n v="6.37"/>
    <n v="3"/>
    <n v="2"/>
  </r>
  <r>
    <n v="465"/>
    <x v="3"/>
    <s v="01-10-2026"/>
    <x v="1"/>
    <x v="0"/>
    <s v="14:36:54"/>
    <s v="15:15:04"/>
    <s v="15:23:23"/>
    <x v="435"/>
    <n v="8.31"/>
    <n v="8"/>
    <n v="2"/>
  </r>
  <r>
    <n v="466"/>
    <x v="3"/>
    <s v="01-10-2026"/>
    <x v="0"/>
    <x v="2"/>
    <s v="13:40:50"/>
    <s v="13:45:57"/>
    <s v="13:53:49"/>
    <x v="436"/>
    <n v="7.86"/>
    <n v="2"/>
    <n v="2"/>
  </r>
  <r>
    <n v="467"/>
    <x v="0"/>
    <s v="01-10-2026"/>
    <x v="0"/>
    <x v="2"/>
    <s v="21:29:00"/>
    <s v="21:32:30"/>
    <s v="21:36:08"/>
    <x v="437"/>
    <n v="3.63"/>
    <n v="1"/>
    <n v="2"/>
  </r>
  <r>
    <n v="468"/>
    <x v="1"/>
    <s v="01-10-2026"/>
    <x v="0"/>
    <x v="0"/>
    <s v="18:10:55"/>
    <s v="18:21:31"/>
    <s v="18:28:11"/>
    <x v="438"/>
    <n v="6.68"/>
    <n v="5"/>
    <n v="2"/>
  </r>
  <r>
    <n v="469"/>
    <x v="0"/>
    <s v="01-10-2026"/>
    <x v="1"/>
    <x v="1"/>
    <s v="13:23:42"/>
    <s v="13:31:17"/>
    <s v="13:34:15"/>
    <x v="439"/>
    <n v="2.97"/>
    <n v="3"/>
    <n v="3"/>
  </r>
  <r>
    <n v="470"/>
    <x v="1"/>
    <s v="01-10-2026"/>
    <x v="0"/>
    <x v="1"/>
    <s v="18:46:44"/>
    <s v="19:39:53"/>
    <s v="19:44:48"/>
    <x v="440"/>
    <n v="4.91"/>
    <n v="9"/>
    <n v="1"/>
  </r>
  <r>
    <n v="471"/>
    <x v="2"/>
    <s v="01-10-2026"/>
    <x v="0"/>
    <x v="0"/>
    <s v="13:00:13"/>
    <s v="13:14:32"/>
    <s v="13:19:35"/>
    <x v="441"/>
    <n v="5.05"/>
    <n v="7"/>
    <n v="2"/>
  </r>
  <r>
    <n v="472"/>
    <x v="0"/>
    <s v="01-10-2026"/>
    <x v="0"/>
    <x v="0"/>
    <s v="17:33:43"/>
    <s v="17:38:51"/>
    <s v="17:41:52"/>
    <x v="442"/>
    <n v="3.01"/>
    <n v="1"/>
    <n v="2"/>
  </r>
  <r>
    <n v="473"/>
    <x v="0"/>
    <s v="01-10-2026"/>
    <x v="0"/>
    <x v="0"/>
    <s v="19:52:07"/>
    <s v="20:03:59"/>
    <s v="20:07:22"/>
    <x v="443"/>
    <n v="3.38"/>
    <n v="4"/>
    <n v="2"/>
  </r>
  <r>
    <n v="474"/>
    <x v="1"/>
    <s v="01-10-2026"/>
    <x v="1"/>
    <x v="2"/>
    <s v="17:24:05"/>
    <s v="17:27:58"/>
    <s v="17:32:28"/>
    <x v="444"/>
    <n v="4.5"/>
    <n v="2"/>
    <n v="3"/>
  </r>
  <r>
    <n v="475"/>
    <x v="0"/>
    <s v="01-10-2026"/>
    <x v="0"/>
    <x v="1"/>
    <s v="19:56:19"/>
    <s v="20:17:28"/>
    <s v="20:22:00"/>
    <x v="445"/>
    <n v="4.53"/>
    <n v="4"/>
    <n v="1"/>
  </r>
  <r>
    <n v="476"/>
    <x v="2"/>
    <s v="01-10-2026"/>
    <x v="0"/>
    <x v="0"/>
    <s v="14:04:33"/>
    <s v="14:14:30"/>
    <s v="14:21:15"/>
    <x v="169"/>
    <n v="6.76"/>
    <n v="7"/>
    <n v="3"/>
  </r>
  <r>
    <n v="477"/>
    <x v="0"/>
    <s v="01-10-2026"/>
    <x v="0"/>
    <x v="1"/>
    <s v="19:46:13"/>
    <s v="19:53:14"/>
    <s v="19:57:37"/>
    <x v="446"/>
    <n v="4.3899999999999997"/>
    <n v="5"/>
    <n v="3"/>
  </r>
  <r>
    <n v="478"/>
    <x v="1"/>
    <s v="01-10-2026"/>
    <x v="1"/>
    <x v="0"/>
    <s v="21:55:13"/>
    <s v="22:51:26"/>
    <s v="22:56:40"/>
    <x v="447"/>
    <n v="5.23"/>
    <n v="9"/>
    <n v="1"/>
  </r>
  <r>
    <n v="479"/>
    <x v="0"/>
    <s v="01-10-2026"/>
    <x v="0"/>
    <x v="2"/>
    <s v="20:22:27"/>
    <s v="20:26:04"/>
    <s v="20:27:26"/>
    <x v="305"/>
    <n v="1.37"/>
    <n v="2"/>
    <n v="2"/>
  </r>
  <r>
    <n v="480"/>
    <x v="1"/>
    <s v="01-10-2026"/>
    <x v="0"/>
    <x v="1"/>
    <s v="13:15:35"/>
    <s v="13:26:57"/>
    <s v="13:33:46"/>
    <x v="448"/>
    <n v="6.81"/>
    <n v="6"/>
    <n v="3"/>
  </r>
  <r>
    <n v="481"/>
    <x v="3"/>
    <s v="01-10-2026"/>
    <x v="0"/>
    <x v="0"/>
    <s v="18:13:33"/>
    <s v="18:39:38"/>
    <s v="18:46:34"/>
    <x v="449"/>
    <n v="6.93"/>
    <n v="9"/>
    <n v="3"/>
  </r>
  <r>
    <n v="482"/>
    <x v="1"/>
    <s v="01-10-2026"/>
    <x v="1"/>
    <x v="1"/>
    <s v="12:50:57"/>
    <s v="13:24:47"/>
    <s v="13:32:29"/>
    <x v="450"/>
    <n v="7.7"/>
    <n v="5"/>
    <n v="1"/>
  </r>
  <r>
    <n v="483"/>
    <x v="2"/>
    <s v="01-10-2026"/>
    <x v="1"/>
    <x v="2"/>
    <s v="17:31:40"/>
    <s v="17:39:56"/>
    <s v="17:46:08"/>
    <x v="451"/>
    <n v="6.19"/>
    <n v="5"/>
    <n v="3"/>
  </r>
  <r>
    <n v="484"/>
    <x v="0"/>
    <s v="01-10-2026"/>
    <x v="0"/>
    <x v="1"/>
    <s v="19:08:24"/>
    <s v="19:14:21"/>
    <s v="19:18:49"/>
    <x v="213"/>
    <n v="4.47"/>
    <n v="4"/>
    <n v="3"/>
  </r>
  <r>
    <n v="485"/>
    <x v="2"/>
    <s v="01-10-2026"/>
    <x v="1"/>
    <x v="0"/>
    <s v="14:48:30"/>
    <s v="15:30:33"/>
    <s v="15:35:40"/>
    <x v="452"/>
    <n v="5.12"/>
    <n v="7"/>
    <n v="1"/>
  </r>
  <r>
    <n v="486"/>
    <x v="0"/>
    <s v="01-10-2026"/>
    <x v="0"/>
    <x v="2"/>
    <s v="18:13:02"/>
    <s v="18:27:52"/>
    <s v="18:30:33"/>
    <x v="453"/>
    <n v="2.69"/>
    <n v="4"/>
    <n v="1"/>
  </r>
  <r>
    <n v="487"/>
    <x v="2"/>
    <s v="01-10-2026"/>
    <x v="1"/>
    <x v="0"/>
    <s v="20:27:44"/>
    <s v="20:43:36"/>
    <s v="20:49:02"/>
    <x v="454"/>
    <n v="5.44"/>
    <n v="5"/>
    <n v="2"/>
  </r>
  <r>
    <n v="488"/>
    <x v="0"/>
    <s v="01-10-2026"/>
    <x v="0"/>
    <x v="1"/>
    <s v="13:19:05"/>
    <s v="13:22:45"/>
    <s v="13:28:08"/>
    <x v="455"/>
    <n v="5.39"/>
    <n v="3"/>
    <n v="3"/>
  </r>
  <r>
    <n v="489"/>
    <x v="1"/>
    <s v="01-10-2026"/>
    <x v="0"/>
    <x v="0"/>
    <s v="19:25:37"/>
    <s v="19:33:46"/>
    <s v="19:39:09"/>
    <x v="456"/>
    <n v="5.38"/>
    <n v="4"/>
    <n v="3"/>
  </r>
  <r>
    <n v="490"/>
    <x v="0"/>
    <s v="01-10-2026"/>
    <x v="1"/>
    <x v="0"/>
    <s v="20:46:54"/>
    <s v="21:02:01"/>
    <s v="21:07:16"/>
    <x v="457"/>
    <n v="5.25"/>
    <n v="3"/>
    <n v="1"/>
  </r>
  <r>
    <n v="491"/>
    <x v="0"/>
    <s v="01-10-2026"/>
    <x v="0"/>
    <x v="2"/>
    <s v="20:07:29"/>
    <s v="20:16:26"/>
    <s v="20:19:50"/>
    <x v="44"/>
    <n v="3.4"/>
    <n v="7"/>
    <n v="3"/>
  </r>
  <r>
    <n v="492"/>
    <x v="0"/>
    <s v="01-10-2026"/>
    <x v="1"/>
    <x v="0"/>
    <s v="14:07:00"/>
    <s v="14:15:16"/>
    <s v="14:19:29"/>
    <x v="254"/>
    <n v="4.22"/>
    <n v="5"/>
    <n v="3"/>
  </r>
  <r>
    <n v="493"/>
    <x v="1"/>
    <s v="01-10-2026"/>
    <x v="0"/>
    <x v="2"/>
    <s v="21:22:33"/>
    <s v="21:26:43"/>
    <s v="21:31:01"/>
    <x v="458"/>
    <n v="4.29"/>
    <n v="4"/>
    <n v="3"/>
  </r>
  <r>
    <n v="494"/>
    <x v="3"/>
    <s v="01-10-2026"/>
    <x v="0"/>
    <x v="1"/>
    <s v="14:47:49"/>
    <s v="15:05:22"/>
    <s v="15:13:29"/>
    <x v="459"/>
    <n v="8.11"/>
    <n v="5"/>
    <n v="2"/>
  </r>
  <r>
    <n v="495"/>
    <x v="0"/>
    <s v="01-10-2026"/>
    <x v="0"/>
    <x v="1"/>
    <s v="20:17:33"/>
    <s v="20:31:23"/>
    <s v="20:35:12"/>
    <x v="460"/>
    <n v="3.82"/>
    <n v="3"/>
    <n v="1"/>
  </r>
  <r>
    <n v="496"/>
    <x v="3"/>
    <s v="01-10-2026"/>
    <x v="0"/>
    <x v="1"/>
    <s v="21:32:23"/>
    <s v="22:23:20"/>
    <s v="22:30:27"/>
    <x v="461"/>
    <n v="7.11"/>
    <n v="6"/>
    <n v="1"/>
  </r>
  <r>
    <n v="497"/>
    <x v="2"/>
    <s v="01-10-2026"/>
    <x v="0"/>
    <x v="1"/>
    <s v="14:16:49"/>
    <s v="14:42:40"/>
    <s v="14:47:47"/>
    <x v="462"/>
    <n v="5.12"/>
    <n v="5"/>
    <n v="1"/>
  </r>
  <r>
    <n v="498"/>
    <x v="0"/>
    <s v="01-10-2026"/>
    <x v="0"/>
    <x v="0"/>
    <s v="12:02:54"/>
    <s v="12:11:25"/>
    <s v="12:15:35"/>
    <x v="463"/>
    <n v="4.16"/>
    <n v="2"/>
    <n v="1"/>
  </r>
  <r>
    <n v="499"/>
    <x v="1"/>
    <s v="01-10-2026"/>
    <x v="0"/>
    <x v="1"/>
    <s v="19:24:58"/>
    <s v="19:40:50"/>
    <s v="19:48:28"/>
    <x v="464"/>
    <n v="7.62"/>
    <n v="3"/>
    <n v="1"/>
  </r>
  <r>
    <n v="500"/>
    <x v="1"/>
    <s v="01-10-2026"/>
    <x v="0"/>
    <x v="0"/>
    <s v="20:14:20"/>
    <s v="20:23:09"/>
    <s v="20:27:49"/>
    <x v="465"/>
    <n v="4.66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F3A11-4CBD-4862-9373-9D48A411FB97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4" firstHeaderRow="1" firstDataRow="1" firstDataCol="1"/>
  <pivotFields count="12"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467">
        <item x="21"/>
        <item x="299"/>
        <item x="384"/>
        <item x="385"/>
        <item x="282"/>
        <item x="430"/>
        <item x="192"/>
        <item x="128"/>
        <item x="211"/>
        <item x="228"/>
        <item x="402"/>
        <item x="418"/>
        <item x="130"/>
        <item x="76"/>
        <item x="345"/>
        <item x="255"/>
        <item x="59"/>
        <item x="400"/>
        <item x="140"/>
        <item x="421"/>
        <item x="25"/>
        <item x="132"/>
        <item x="367"/>
        <item x="226"/>
        <item x="244"/>
        <item x="297"/>
        <item x="277"/>
        <item x="437"/>
        <item x="180"/>
        <item x="305"/>
        <item x="455"/>
        <item x="30"/>
        <item x="444"/>
        <item x="368"/>
        <item x="34"/>
        <item x="458"/>
        <item x="5"/>
        <item x="406"/>
        <item x="314"/>
        <item x="195"/>
        <item x="15"/>
        <item x="427"/>
        <item x="341"/>
        <item x="292"/>
        <item x="98"/>
        <item x="413"/>
        <item x="263"/>
        <item x="436"/>
        <item x="442"/>
        <item x="337"/>
        <item x="269"/>
        <item x="2"/>
        <item x="426"/>
        <item x="335"/>
        <item x="383"/>
        <item x="61"/>
        <item x="191"/>
        <item x="286"/>
        <item x="181"/>
        <item x="248"/>
        <item x="252"/>
        <item x="302"/>
        <item x="38"/>
        <item x="213"/>
        <item x="351"/>
        <item x="415"/>
        <item x="380"/>
        <item x="183"/>
        <item x="284"/>
        <item x="434"/>
        <item x="417"/>
        <item x="64"/>
        <item x="136"/>
        <item x="376"/>
        <item x="216"/>
        <item x="336"/>
        <item x="83"/>
        <item x="123"/>
        <item x="446"/>
        <item x="311"/>
        <item x="1"/>
        <item x="247"/>
        <item x="100"/>
        <item x="303"/>
        <item x="155"/>
        <item x="439"/>
        <item x="270"/>
        <item x="342"/>
        <item x="268"/>
        <item x="202"/>
        <item x="423"/>
        <item x="218"/>
        <item x="176"/>
        <item x="17"/>
        <item x="319"/>
        <item x="196"/>
        <item x="456"/>
        <item x="119"/>
        <item x="254"/>
        <item x="451"/>
        <item x="170"/>
        <item x="408"/>
        <item x="370"/>
        <item x="161"/>
        <item x="168"/>
        <item x="240"/>
        <item x="281"/>
        <item x="463"/>
        <item x="332"/>
        <item x="186"/>
        <item x="465"/>
        <item x="85"/>
        <item x="184"/>
        <item x="7"/>
        <item x="44"/>
        <item x="354"/>
        <item x="293"/>
        <item x="378"/>
        <item x="18"/>
        <item x="398"/>
        <item x="152"/>
        <item x="151"/>
        <item x="162"/>
        <item x="93"/>
        <item x="117"/>
        <item x="223"/>
        <item x="11"/>
        <item x="8"/>
        <item x="274"/>
        <item x="304"/>
        <item x="379"/>
        <item x="169"/>
        <item x="164"/>
        <item x="29"/>
        <item x="375"/>
        <item x="41"/>
        <item x="322"/>
        <item x="352"/>
        <item x="265"/>
        <item x="271"/>
        <item x="179"/>
        <item x="320"/>
        <item x="307"/>
        <item x="124"/>
        <item x="108"/>
        <item x="300"/>
        <item x="95"/>
        <item x="163"/>
        <item x="197"/>
        <item x="438"/>
        <item x="126"/>
        <item x="296"/>
        <item x="150"/>
        <item x="275"/>
        <item x="287"/>
        <item x="175"/>
        <item x="127"/>
        <item x="96"/>
        <item x="405"/>
        <item x="113"/>
        <item x="92"/>
        <item x="324"/>
        <item x="225"/>
        <item x="391"/>
        <item x="118"/>
        <item x="448"/>
        <item x="214"/>
        <item x="369"/>
        <item x="63"/>
        <item x="241"/>
        <item x="60"/>
        <item x="416"/>
        <item x="173"/>
        <item x="200"/>
        <item x="443"/>
        <item x="217"/>
        <item x="431"/>
        <item x="323"/>
        <item x="71"/>
        <item x="221"/>
        <item x="97"/>
        <item x="182"/>
        <item x="91"/>
        <item x="114"/>
        <item x="143"/>
        <item x="88"/>
        <item x="122"/>
        <item x="340"/>
        <item x="411"/>
        <item x="243"/>
        <item x="62"/>
        <item x="156"/>
        <item x="145"/>
        <item x="9"/>
        <item x="239"/>
        <item x="433"/>
        <item x="288"/>
        <item x="251"/>
        <item x="395"/>
        <item x="372"/>
        <item x="289"/>
        <item x="344"/>
        <item x="102"/>
        <item x="294"/>
        <item x="57"/>
        <item x="56"/>
        <item x="185"/>
        <item x="177"/>
        <item x="460"/>
        <item x="209"/>
        <item x="53"/>
        <item x="141"/>
        <item x="10"/>
        <item x="366"/>
        <item x="414"/>
        <item x="441"/>
        <item x="138"/>
        <item x="74"/>
        <item x="81"/>
        <item x="453"/>
        <item x="276"/>
        <item x="148"/>
        <item x="278"/>
        <item x="111"/>
        <item x="457"/>
        <item x="350"/>
        <item x="233"/>
        <item x="422"/>
        <item x="397"/>
        <item x="326"/>
        <item x="13"/>
        <item x="193"/>
        <item x="235"/>
        <item x="454"/>
        <item x="464"/>
        <item x="236"/>
        <item x="381"/>
        <item x="87"/>
        <item x="220"/>
        <item x="330"/>
        <item x="203"/>
        <item x="174"/>
        <item x="33"/>
        <item x="420"/>
        <item x="142"/>
        <item x="73"/>
        <item x="272"/>
        <item x="26"/>
        <item x="246"/>
        <item x="361"/>
        <item x="315"/>
        <item x="459"/>
        <item x="260"/>
        <item x="410"/>
        <item x="106"/>
        <item x="279"/>
        <item x="35"/>
        <item x="115"/>
        <item x="258"/>
        <item x="334"/>
        <item x="86"/>
        <item x="407"/>
        <item x="360"/>
        <item x="159"/>
        <item x="77"/>
        <item x="188"/>
        <item x="31"/>
        <item x="43"/>
        <item x="295"/>
        <item x="51"/>
        <item x="201"/>
        <item x="14"/>
        <item x="349"/>
        <item x="125"/>
        <item x="23"/>
        <item x="36"/>
        <item x="358"/>
        <item x="229"/>
        <item x="82"/>
        <item x="171"/>
        <item x="230"/>
        <item x="317"/>
        <item x="47"/>
        <item x="313"/>
        <item x="339"/>
        <item x="425"/>
        <item x="104"/>
        <item x="234"/>
        <item x="189"/>
        <item x="144"/>
        <item x="365"/>
        <item x="359"/>
        <item x="445"/>
        <item x="22"/>
        <item x="306"/>
        <item x="89"/>
        <item x="412"/>
        <item x="377"/>
        <item x="65"/>
        <item x="103"/>
        <item x="54"/>
        <item x="160"/>
        <item x="207"/>
        <item x="78"/>
        <item x="187"/>
        <item x="0"/>
        <item x="165"/>
        <item x="301"/>
        <item x="66"/>
        <item x="355"/>
        <item x="84"/>
        <item x="343"/>
        <item x="212"/>
        <item x="328"/>
        <item x="264"/>
        <item x="403"/>
        <item x="208"/>
        <item x="4"/>
        <item x="153"/>
        <item x="250"/>
        <item x="419"/>
        <item x="364"/>
        <item x="399"/>
        <item x="105"/>
        <item x="331"/>
        <item x="259"/>
        <item x="237"/>
        <item x="149"/>
        <item x="329"/>
        <item x="3"/>
        <item x="109"/>
        <item x="139"/>
        <item x="19"/>
        <item x="24"/>
        <item x="45"/>
        <item x="316"/>
        <item x="462"/>
        <item x="449"/>
        <item x="198"/>
        <item x="68"/>
        <item x="219"/>
        <item x="429"/>
        <item x="362"/>
        <item x="390"/>
        <item x="404"/>
        <item x="116"/>
        <item x="346"/>
        <item x="266"/>
        <item x="215"/>
        <item x="206"/>
        <item x="158"/>
        <item x="374"/>
        <item x="190"/>
        <item x="27"/>
        <item x="238"/>
        <item x="28"/>
        <item x="325"/>
        <item x="131"/>
        <item x="75"/>
        <item x="347"/>
        <item x="283"/>
        <item x="401"/>
        <item x="205"/>
        <item x="166"/>
        <item x="48"/>
        <item x="72"/>
        <item x="46"/>
        <item x="261"/>
        <item x="135"/>
        <item x="90"/>
        <item x="55"/>
        <item x="137"/>
        <item x="99"/>
        <item x="231"/>
        <item x="310"/>
        <item x="194"/>
        <item x="134"/>
        <item x="146"/>
        <item x="450"/>
        <item x="79"/>
        <item x="147"/>
        <item x="333"/>
        <item x="232"/>
        <item x="101"/>
        <item x="321"/>
        <item x="129"/>
        <item x="257"/>
        <item x="353"/>
        <item x="210"/>
        <item x="20"/>
        <item x="371"/>
        <item x="298"/>
        <item x="133"/>
        <item x="121"/>
        <item x="267"/>
        <item x="227"/>
        <item x="67"/>
        <item x="312"/>
        <item x="222"/>
        <item x="70"/>
        <item x="178"/>
        <item x="435"/>
        <item x="394"/>
        <item x="356"/>
        <item x="58"/>
        <item x="6"/>
        <item x="172"/>
        <item x="357"/>
        <item x="52"/>
        <item x="245"/>
        <item x="452"/>
        <item x="280"/>
        <item x="32"/>
        <item x="37"/>
        <item x="242"/>
        <item x="396"/>
        <item x="253"/>
        <item x="273"/>
        <item x="291"/>
        <item x="409"/>
        <item x="262"/>
        <item x="40"/>
        <item x="42"/>
        <item x="167"/>
        <item x="348"/>
        <item x="249"/>
        <item x="386"/>
        <item x="285"/>
        <item x="461"/>
        <item x="154"/>
        <item x="388"/>
        <item x="50"/>
        <item x="393"/>
        <item x="39"/>
        <item x="327"/>
        <item x="69"/>
        <item x="363"/>
        <item x="440"/>
        <item x="199"/>
        <item x="157"/>
        <item x="447"/>
        <item x="94"/>
        <item x="308"/>
        <item x="224"/>
        <item x="389"/>
        <item x="107"/>
        <item x="112"/>
        <item x="373"/>
        <item x="382"/>
        <item x="338"/>
        <item x="424"/>
        <item x="256"/>
        <item x="428"/>
        <item x="49"/>
        <item x="80"/>
        <item x="12"/>
        <item x="290"/>
        <item x="392"/>
        <item x="16"/>
        <item x="120"/>
        <item x="204"/>
        <item x="318"/>
        <item x="110"/>
        <item x="309"/>
        <item x="432"/>
        <item x="387"/>
        <item t="default"/>
      </items>
    </pivotField>
    <pivotField showAll="0"/>
    <pivotField showAll="0"/>
    <pivotField showAll="0"/>
  </pivotFields>
  <rowFields count="3">
    <field x="1"/>
    <field x="4"/>
    <field x="3"/>
  </rowFields>
  <rowItems count="41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Average of Wait_Time_mins" fld="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5DC8-3767-4DBB-A4A2-650BD4C2B55D}">
  <dimension ref="A1:C15"/>
  <sheetViews>
    <sheetView workbookViewId="0">
      <selection activeCell="C14" sqref="C14"/>
    </sheetView>
  </sheetViews>
  <sheetFormatPr defaultRowHeight="14.5" x14ac:dyDescent="0.35"/>
  <cols>
    <col min="1" max="1" width="20.08984375" customWidth="1"/>
    <col min="3" max="3" width="56.36328125" customWidth="1"/>
  </cols>
  <sheetData>
    <row r="1" spans="1:3" x14ac:dyDescent="0.35">
      <c r="A1" s="3" t="s">
        <v>8</v>
      </c>
      <c r="B1" s="3"/>
      <c r="C1" t="s">
        <v>1494</v>
      </c>
    </row>
    <row r="2" spans="1:3" x14ac:dyDescent="0.35">
      <c r="A2" s="1"/>
      <c r="B2" s="1"/>
    </row>
    <row r="3" spans="1:3" x14ac:dyDescent="0.35">
      <c r="A3" s="1" t="s">
        <v>1481</v>
      </c>
      <c r="B3" s="1">
        <v>21.576880000000006</v>
      </c>
      <c r="C3" s="4" t="s">
        <v>1495</v>
      </c>
    </row>
    <row r="4" spans="1:3" x14ac:dyDescent="0.35">
      <c r="A4" s="1" t="s">
        <v>1482</v>
      </c>
      <c r="B4" s="1">
        <v>0.9401771225544413</v>
      </c>
      <c r="C4" s="4"/>
    </row>
    <row r="5" spans="1:3" x14ac:dyDescent="0.35">
      <c r="A5" s="1" t="s">
        <v>1483</v>
      </c>
      <c r="B5" s="1">
        <v>15.100000000000001</v>
      </c>
      <c r="C5" s="4" t="s">
        <v>1496</v>
      </c>
    </row>
    <row r="6" spans="1:3" x14ac:dyDescent="0.35">
      <c r="A6" s="1" t="s">
        <v>1484</v>
      </c>
      <c r="B6" s="1">
        <v>0.5</v>
      </c>
      <c r="C6" s="4" t="s">
        <v>1497</v>
      </c>
    </row>
    <row r="7" spans="1:3" x14ac:dyDescent="0.35">
      <c r="A7" s="1" t="s">
        <v>1485</v>
      </c>
      <c r="B7" s="1">
        <v>21.022999569218815</v>
      </c>
      <c r="C7" s="4" t="s">
        <v>1498</v>
      </c>
    </row>
    <row r="8" spans="1:3" x14ac:dyDescent="0.35">
      <c r="A8" s="1" t="s">
        <v>1486</v>
      </c>
      <c r="B8" s="1">
        <v>441.96651088737451</v>
      </c>
    </row>
    <row r="9" spans="1:3" x14ac:dyDescent="0.35">
      <c r="A9" s="1" t="s">
        <v>1487</v>
      </c>
      <c r="B9" s="1">
        <v>11.423270432058898</v>
      </c>
      <c r="C9" s="4" t="s">
        <v>1500</v>
      </c>
    </row>
    <row r="10" spans="1:3" x14ac:dyDescent="0.35">
      <c r="A10" s="1" t="s">
        <v>1488</v>
      </c>
      <c r="B10" s="1">
        <v>2.8291169999052275</v>
      </c>
      <c r="C10" s="4" t="s">
        <v>1499</v>
      </c>
    </row>
    <row r="11" spans="1:3" x14ac:dyDescent="0.35">
      <c r="A11" s="1" t="s">
        <v>1489</v>
      </c>
      <c r="B11" s="1">
        <v>161.88999999999999</v>
      </c>
    </row>
    <row r="12" spans="1:3" x14ac:dyDescent="0.35">
      <c r="A12" s="1" t="s">
        <v>1490</v>
      </c>
      <c r="B12" s="1">
        <v>0.5</v>
      </c>
    </row>
    <row r="13" spans="1:3" x14ac:dyDescent="0.35">
      <c r="A13" s="1" t="s">
        <v>1491</v>
      </c>
      <c r="B13" s="1">
        <v>162.38999999999999</v>
      </c>
      <c r="C13" s="4" t="s">
        <v>1501</v>
      </c>
    </row>
    <row r="14" spans="1:3" x14ac:dyDescent="0.35">
      <c r="A14" s="1" t="s">
        <v>1492</v>
      </c>
      <c r="B14" s="1">
        <v>10788.440000000002</v>
      </c>
    </row>
    <row r="15" spans="1:3" ht="15" thickBot="1" x14ac:dyDescent="0.4">
      <c r="A15" s="2" t="s">
        <v>1493</v>
      </c>
      <c r="B15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FDCE-B62A-4265-8F2F-66CEA13BE16A}">
  <dimension ref="A2:H17"/>
  <sheetViews>
    <sheetView workbookViewId="0">
      <selection activeCell="B14" sqref="B14"/>
    </sheetView>
  </sheetViews>
  <sheetFormatPr defaultRowHeight="14.5" x14ac:dyDescent="0.35"/>
  <cols>
    <col min="1" max="1" width="27.1796875" customWidth="1"/>
    <col min="2" max="2" width="18.26953125" customWidth="1"/>
    <col min="3" max="3" width="15.26953125" customWidth="1"/>
    <col min="4" max="4" width="11.6328125" customWidth="1"/>
    <col min="5" max="5" width="11.90625" customWidth="1"/>
    <col min="6" max="6" width="15.6328125" customWidth="1"/>
  </cols>
  <sheetData>
    <row r="2" spans="1:8" x14ac:dyDescent="0.35">
      <c r="A2" t="s">
        <v>1505</v>
      </c>
      <c r="B2" t="s">
        <v>1506</v>
      </c>
      <c r="C2" t="s">
        <v>1507</v>
      </c>
      <c r="D2" s="4" t="s">
        <v>1508</v>
      </c>
      <c r="E2" s="4" t="s">
        <v>1509</v>
      </c>
      <c r="F2" s="4" t="s">
        <v>1510</v>
      </c>
      <c r="G2" s="4" t="s">
        <v>1511</v>
      </c>
      <c r="H2" s="4" t="s">
        <v>1512</v>
      </c>
    </row>
    <row r="3" spans="1:8" x14ac:dyDescent="0.35">
      <c r="A3" s="4" t="s">
        <v>12</v>
      </c>
      <c r="B3" s="10">
        <f>COUNTIF(Data!B:B,A3)</f>
        <v>117</v>
      </c>
      <c r="C3">
        <v>600</v>
      </c>
      <c r="D3">
        <f>B3/C3</f>
        <v>0.19500000000000001</v>
      </c>
      <c r="E3">
        <f>AVERAGEIF(Data!B:B,A3,Data!J:J)</f>
        <v>4.43871794871795</v>
      </c>
      <c r="F3">
        <f>1/E3</f>
        <v>0.22529027785800929</v>
      </c>
      <c r="G3">
        <v>3</v>
      </c>
      <c r="H3">
        <f>D3/(G3*F3)</f>
        <v>0.28851666666666675</v>
      </c>
    </row>
    <row r="4" spans="1:8" x14ac:dyDescent="0.35">
      <c r="A4" t="s">
        <v>22</v>
      </c>
      <c r="B4">
        <f>COUNTIF(Data!B:B,A4)</f>
        <v>121</v>
      </c>
      <c r="C4">
        <v>400</v>
      </c>
      <c r="D4">
        <f>B4/C4</f>
        <v>0.30249999999999999</v>
      </c>
      <c r="E4">
        <f>AVERAGEIF(Data!B:B,A4,Data!J:J)</f>
        <v>5.8575206611570216</v>
      </c>
      <c r="F4">
        <f>1/E4</f>
        <v>0.17072069529883185</v>
      </c>
      <c r="G4">
        <v>3</v>
      </c>
      <c r="H4">
        <f>D4/(G4*F4)</f>
        <v>0.59063333333333301</v>
      </c>
    </row>
    <row r="5" spans="1:8" x14ac:dyDescent="0.35">
      <c r="A5" t="s">
        <v>38</v>
      </c>
      <c r="B5">
        <f>COUNTIF(Data!B:B,A5)</f>
        <v>129</v>
      </c>
      <c r="C5">
        <v>750</v>
      </c>
      <c r="D5">
        <f>B5/C5</f>
        <v>0.17199999999999999</v>
      </c>
      <c r="E5">
        <f>AVERAGEIF(Data!B:B,A5,Data!J:J)</f>
        <v>8.0581395348837201</v>
      </c>
      <c r="F5">
        <f>1/E5</f>
        <v>0.12409812409812411</v>
      </c>
      <c r="G5">
        <f>ROUND(AVERAGEIF(Data!B:B,A5,Data!L:L),0)</f>
        <v>2</v>
      </c>
      <c r="H5">
        <f>D5/(G5*F5)</f>
        <v>0.69299999999999984</v>
      </c>
    </row>
    <row r="6" spans="1:8" x14ac:dyDescent="0.35">
      <c r="A6" s="4" t="s">
        <v>26</v>
      </c>
      <c r="B6">
        <f>COUNTIF(Data!B:B,A6)</f>
        <v>133</v>
      </c>
      <c r="C6">
        <v>650</v>
      </c>
      <c r="D6">
        <f>B6/C6</f>
        <v>0.20461538461538462</v>
      </c>
      <c r="E6">
        <f>AVERAGEIF(Data!B:B,A6,Data!J:J)</f>
        <v>5.1909022556390978</v>
      </c>
      <c r="F6">
        <f>1/E6</f>
        <v>0.19264473703269167</v>
      </c>
      <c r="G6">
        <f>ROUND(AVERAGEIF(Data!B:B,A6,Data!L:L),0)</f>
        <v>2</v>
      </c>
      <c r="H6">
        <f>D6/(G6*F6)</f>
        <v>0.53106923076923074</v>
      </c>
    </row>
    <row r="10" spans="1:8" x14ac:dyDescent="0.35">
      <c r="A10" t="s">
        <v>1513</v>
      </c>
    </row>
    <row r="11" spans="1:8" x14ac:dyDescent="0.35">
      <c r="A11" s="4" t="s">
        <v>1508</v>
      </c>
      <c r="B11">
        <f>D5</f>
        <v>0.17199999999999999</v>
      </c>
    </row>
    <row r="12" spans="1:8" x14ac:dyDescent="0.35">
      <c r="A12" s="4" t="s">
        <v>1510</v>
      </c>
      <c r="B12">
        <f>F5</f>
        <v>0.12409812409812411</v>
      </c>
    </row>
    <row r="13" spans="1:8" x14ac:dyDescent="0.35">
      <c r="A13" s="11" t="s">
        <v>1511</v>
      </c>
      <c r="B13">
        <v>3</v>
      </c>
    </row>
    <row r="14" spans="1:8" x14ac:dyDescent="0.35">
      <c r="A14" s="4" t="s">
        <v>1512</v>
      </c>
      <c r="B14">
        <f>B11/(B13*B12)</f>
        <v>0.46199999999999991</v>
      </c>
    </row>
    <row r="15" spans="1:8" x14ac:dyDescent="0.35">
      <c r="A15" s="4" t="s">
        <v>1514</v>
      </c>
      <c r="B15">
        <f ca="1">1/(SUMPRODUCT(POWER(B11/B12,ROW(INDIRECT("1:"&amp;B13-1)))/FACT(ROW(INDIRECT("1:"&amp;B13-1))))+(POWER(B11/B12,B13)/FACT(B13))*(1/(1-B14)))</f>
        <v>0.31532687909617246</v>
      </c>
    </row>
    <row r="16" spans="1:8" x14ac:dyDescent="0.35">
      <c r="A16" s="4" t="s">
        <v>1515</v>
      </c>
      <c r="B16">
        <f ca="1">(POWER(B11/B12,B13)/FACT(B13))*(1/(1-B14))*B15</f>
        <v>0.26008610885458966</v>
      </c>
    </row>
    <row r="17" spans="1:2" x14ac:dyDescent="0.35">
      <c r="A17" s="11" t="s">
        <v>1516</v>
      </c>
      <c r="B17">
        <f ca="1">B16/(B13*B12-B11)</f>
        <v>1.2985193037393057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3199-9D48-42C4-A945-8C97A6E03D1B}">
  <dimension ref="A3:B44"/>
  <sheetViews>
    <sheetView topLeftCell="A3" workbookViewId="0">
      <selection activeCell="A3" sqref="A3"/>
    </sheetView>
  </sheetViews>
  <sheetFormatPr defaultRowHeight="14.5" x14ac:dyDescent="0.35"/>
  <cols>
    <col min="1" max="1" width="14.54296875" bestFit="1" customWidth="1"/>
    <col min="2" max="2" width="24.54296875" bestFit="1" customWidth="1"/>
  </cols>
  <sheetData>
    <row r="3" spans="1:2" x14ac:dyDescent="0.35">
      <c r="A3" s="5" t="s">
        <v>1502</v>
      </c>
      <c r="B3" t="s">
        <v>1504</v>
      </c>
    </row>
    <row r="4" spans="1:2" x14ac:dyDescent="0.35">
      <c r="A4" s="6" t="s">
        <v>26</v>
      </c>
      <c r="B4" s="8">
        <v>15.443308270676692</v>
      </c>
    </row>
    <row r="5" spans="1:2" x14ac:dyDescent="0.35">
      <c r="A5" s="7" t="s">
        <v>72</v>
      </c>
      <c r="B5" s="8">
        <v>14.111388888888888</v>
      </c>
    </row>
    <row r="6" spans="1:2" x14ac:dyDescent="0.35">
      <c r="A6" s="9" t="s">
        <v>14</v>
      </c>
      <c r="B6" s="8">
        <v>9.1546666666666656</v>
      </c>
    </row>
    <row r="7" spans="1:2" x14ac:dyDescent="0.35">
      <c r="A7" s="9" t="s">
        <v>31</v>
      </c>
      <c r="B7" s="8">
        <v>17.651904761904763</v>
      </c>
    </row>
    <row r="8" spans="1:2" x14ac:dyDescent="0.35">
      <c r="A8" s="7" t="s">
        <v>27</v>
      </c>
      <c r="B8" s="8">
        <v>16.831276595744683</v>
      </c>
    </row>
    <row r="9" spans="1:2" x14ac:dyDescent="0.35">
      <c r="A9" s="9" t="s">
        <v>14</v>
      </c>
      <c r="B9" s="8">
        <v>13.100769230769234</v>
      </c>
    </row>
    <row r="10" spans="1:2" x14ac:dyDescent="0.35">
      <c r="A10" s="9" t="s">
        <v>31</v>
      </c>
      <c r="B10" s="8">
        <v>21.449999999999996</v>
      </c>
    </row>
    <row r="11" spans="1:2" x14ac:dyDescent="0.35">
      <c r="A11" s="7" t="s">
        <v>15</v>
      </c>
      <c r="B11" s="8">
        <v>15.097599999999998</v>
      </c>
    </row>
    <row r="12" spans="1:2" x14ac:dyDescent="0.35">
      <c r="A12" s="9" t="s">
        <v>14</v>
      </c>
      <c r="B12" s="8">
        <v>11.63125</v>
      </c>
    </row>
    <row r="13" spans="1:2" x14ac:dyDescent="0.35">
      <c r="A13" s="9" t="s">
        <v>31</v>
      </c>
      <c r="B13" s="8">
        <v>18.297307692307694</v>
      </c>
    </row>
    <row r="14" spans="1:2" x14ac:dyDescent="0.35">
      <c r="A14" s="6" t="s">
        <v>38</v>
      </c>
      <c r="B14" s="8">
        <v>39.196046511627912</v>
      </c>
    </row>
    <row r="15" spans="1:2" x14ac:dyDescent="0.35">
      <c r="A15" s="7" t="s">
        <v>72</v>
      </c>
      <c r="B15" s="8">
        <v>27.567857142857147</v>
      </c>
    </row>
    <row r="16" spans="1:2" x14ac:dyDescent="0.35">
      <c r="A16" s="9" t="s">
        <v>14</v>
      </c>
      <c r="B16" s="8">
        <v>20.181666666666665</v>
      </c>
    </row>
    <row r="17" spans="1:2" x14ac:dyDescent="0.35">
      <c r="A17" s="9" t="s">
        <v>31</v>
      </c>
      <c r="B17" s="8">
        <v>33.107499999999995</v>
      </c>
    </row>
    <row r="18" spans="1:2" x14ac:dyDescent="0.35">
      <c r="A18" s="7" t="s">
        <v>27</v>
      </c>
      <c r="B18" s="8">
        <v>48.213095238095242</v>
      </c>
    </row>
    <row r="19" spans="1:2" x14ac:dyDescent="0.35">
      <c r="A19" s="9" t="s">
        <v>14</v>
      </c>
      <c r="B19" s="8">
        <v>30.809500000000003</v>
      </c>
    </row>
    <row r="20" spans="1:2" x14ac:dyDescent="0.35">
      <c r="A20" s="9" t="s">
        <v>31</v>
      </c>
      <c r="B20" s="8">
        <v>64.034545454545452</v>
      </c>
    </row>
    <row r="21" spans="1:2" x14ac:dyDescent="0.35">
      <c r="A21" s="7" t="s">
        <v>15</v>
      </c>
      <c r="B21" s="8">
        <v>41.63311111111112</v>
      </c>
    </row>
    <row r="22" spans="1:2" x14ac:dyDescent="0.35">
      <c r="A22" s="9" t="s">
        <v>14</v>
      </c>
      <c r="B22" s="8">
        <v>32.798461538461545</v>
      </c>
    </row>
    <row r="23" spans="1:2" x14ac:dyDescent="0.35">
      <c r="A23" s="9" t="s">
        <v>31</v>
      </c>
      <c r="B23" s="8">
        <v>53.722631578947365</v>
      </c>
    </row>
    <row r="24" spans="1:2" x14ac:dyDescent="0.35">
      <c r="A24" s="6" t="s">
        <v>22</v>
      </c>
      <c r="B24" s="8">
        <v>19.86363636363636</v>
      </c>
    </row>
    <row r="25" spans="1:2" x14ac:dyDescent="0.35">
      <c r="A25" s="7" t="s">
        <v>72</v>
      </c>
      <c r="B25" s="8">
        <v>15.643500000000003</v>
      </c>
    </row>
    <row r="26" spans="1:2" x14ac:dyDescent="0.35">
      <c r="A26" s="9" t="s">
        <v>14</v>
      </c>
      <c r="B26" s="8">
        <v>10.678500000000003</v>
      </c>
    </row>
    <row r="27" spans="1:2" x14ac:dyDescent="0.35">
      <c r="A27" s="9" t="s">
        <v>31</v>
      </c>
      <c r="B27" s="8">
        <v>20.608499999999999</v>
      </c>
    </row>
    <row r="28" spans="1:2" x14ac:dyDescent="0.35">
      <c r="A28" s="7" t="s">
        <v>27</v>
      </c>
      <c r="B28" s="8">
        <v>24.848749999999999</v>
      </c>
    </row>
    <row r="29" spans="1:2" x14ac:dyDescent="0.35">
      <c r="A29" s="9" t="s">
        <v>14</v>
      </c>
      <c r="B29" s="8">
        <v>21.468235294117644</v>
      </c>
    </row>
    <row r="30" spans="1:2" x14ac:dyDescent="0.35">
      <c r="A30" s="9" t="s">
        <v>31</v>
      </c>
      <c r="B30" s="8">
        <v>27.347391304347827</v>
      </c>
    </row>
    <row r="31" spans="1:2" x14ac:dyDescent="0.35">
      <c r="A31" s="7" t="s">
        <v>15</v>
      </c>
      <c r="B31" s="8">
        <v>19.117317073170735</v>
      </c>
    </row>
    <row r="32" spans="1:2" x14ac:dyDescent="0.35">
      <c r="A32" s="9" t="s">
        <v>14</v>
      </c>
      <c r="B32" s="8">
        <v>15.1875</v>
      </c>
    </row>
    <row r="33" spans="1:2" x14ac:dyDescent="0.35">
      <c r="A33" s="9" t="s">
        <v>31</v>
      </c>
      <c r="B33" s="8">
        <v>24.665294117647054</v>
      </c>
    </row>
    <row r="34" spans="1:2" x14ac:dyDescent="0.35">
      <c r="A34" s="6" t="s">
        <v>12</v>
      </c>
      <c r="B34" s="8">
        <v>10.894786324786331</v>
      </c>
    </row>
    <row r="35" spans="1:2" x14ac:dyDescent="0.35">
      <c r="A35" s="7" t="s">
        <v>72</v>
      </c>
      <c r="B35" s="8">
        <v>7.7063333333333324</v>
      </c>
    </row>
    <row r="36" spans="1:2" x14ac:dyDescent="0.35">
      <c r="A36" s="9" t="s">
        <v>14</v>
      </c>
      <c r="B36" s="8">
        <v>8.4660000000000029</v>
      </c>
    </row>
    <row r="37" spans="1:2" x14ac:dyDescent="0.35">
      <c r="A37" s="9" t="s">
        <v>31</v>
      </c>
      <c r="B37" s="8">
        <v>6.9466666666666672</v>
      </c>
    </row>
    <row r="38" spans="1:2" x14ac:dyDescent="0.35">
      <c r="A38" s="7" t="s">
        <v>27</v>
      </c>
      <c r="B38" s="8">
        <v>13.612444444444444</v>
      </c>
    </row>
    <row r="39" spans="1:2" x14ac:dyDescent="0.35">
      <c r="A39" s="9" t="s">
        <v>14</v>
      </c>
      <c r="B39" s="8">
        <v>12.149199999999999</v>
      </c>
    </row>
    <row r="40" spans="1:2" x14ac:dyDescent="0.35">
      <c r="A40" s="9" t="s">
        <v>31</v>
      </c>
      <c r="B40" s="8">
        <v>15.4415</v>
      </c>
    </row>
    <row r="41" spans="1:2" x14ac:dyDescent="0.35">
      <c r="A41" s="7" t="s">
        <v>15</v>
      </c>
      <c r="B41" s="8">
        <v>10.260476190476188</v>
      </c>
    </row>
    <row r="42" spans="1:2" x14ac:dyDescent="0.35">
      <c r="A42" s="9" t="s">
        <v>14</v>
      </c>
      <c r="B42" s="8">
        <v>8.634545454545453</v>
      </c>
    </row>
    <row r="43" spans="1:2" x14ac:dyDescent="0.35">
      <c r="A43" s="9" t="s">
        <v>31</v>
      </c>
      <c r="B43" s="8">
        <v>12.048999999999999</v>
      </c>
    </row>
    <row r="44" spans="1:2" x14ac:dyDescent="0.35">
      <c r="A44" s="6" t="s">
        <v>1503</v>
      </c>
      <c r="B44" s="8">
        <v>21.576879999999989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selection activeCell="H9" sqref="H9"/>
    </sheetView>
  </sheetViews>
  <sheetFormatPr defaultRowHeight="14.5" x14ac:dyDescent="0.35"/>
  <cols>
    <col min="1" max="1" width="11" customWidth="1"/>
    <col min="2" max="2" width="18" customWidth="1"/>
    <col min="3" max="3" width="9.7265625" customWidth="1"/>
    <col min="6" max="6" width="15" customWidth="1"/>
    <col min="7" max="7" width="16.36328125" customWidth="1"/>
    <col min="8" max="8" width="16.90625" customWidth="1"/>
    <col min="9" max="9" width="15.6328125" customWidth="1"/>
    <col min="10" max="10" width="12.26953125" customWidth="1"/>
    <col min="11" max="11" width="18.54296875" customWidth="1"/>
    <col min="12" max="12" width="17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22.49</v>
      </c>
      <c r="J2">
        <v>4.79</v>
      </c>
      <c r="K2">
        <v>5</v>
      </c>
      <c r="L2">
        <v>1</v>
      </c>
    </row>
    <row r="3" spans="1:12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 t="s">
        <v>20</v>
      </c>
      <c r="H3" t="s">
        <v>21</v>
      </c>
      <c r="I3">
        <v>7.18</v>
      </c>
      <c r="J3">
        <v>3.5</v>
      </c>
      <c r="K3">
        <v>2</v>
      </c>
      <c r="L3">
        <v>1</v>
      </c>
    </row>
    <row r="4" spans="1:12" x14ac:dyDescent="0.35">
      <c r="A4">
        <v>3</v>
      </c>
      <c r="B4" t="s">
        <v>22</v>
      </c>
      <c r="C4" t="s">
        <v>13</v>
      </c>
      <c r="D4" t="s">
        <v>14</v>
      </c>
      <c r="E4" t="s">
        <v>15</v>
      </c>
      <c r="F4" t="s">
        <v>23</v>
      </c>
      <c r="G4" t="s">
        <v>24</v>
      </c>
      <c r="H4" t="s">
        <v>25</v>
      </c>
      <c r="I4">
        <v>5.38</v>
      </c>
      <c r="J4">
        <v>5.49</v>
      </c>
      <c r="K4">
        <v>4</v>
      </c>
      <c r="L4">
        <v>3</v>
      </c>
    </row>
    <row r="5" spans="1:12" x14ac:dyDescent="0.35">
      <c r="A5">
        <v>4</v>
      </c>
      <c r="B5" t="s">
        <v>26</v>
      </c>
      <c r="C5" t="s">
        <v>13</v>
      </c>
      <c r="D5" t="s">
        <v>14</v>
      </c>
      <c r="E5" t="s">
        <v>27</v>
      </c>
      <c r="F5" t="s">
        <v>28</v>
      </c>
      <c r="G5" t="s">
        <v>29</v>
      </c>
      <c r="H5" t="s">
        <v>30</v>
      </c>
      <c r="I5">
        <v>25.18</v>
      </c>
      <c r="J5">
        <v>5.31</v>
      </c>
      <c r="K5">
        <v>5</v>
      </c>
      <c r="L5">
        <v>1</v>
      </c>
    </row>
    <row r="6" spans="1:12" x14ac:dyDescent="0.35">
      <c r="A6">
        <v>5</v>
      </c>
      <c r="B6" t="s">
        <v>22</v>
      </c>
      <c r="C6" t="s">
        <v>13</v>
      </c>
      <c r="D6" t="s">
        <v>31</v>
      </c>
      <c r="E6" t="s">
        <v>27</v>
      </c>
      <c r="F6" t="s">
        <v>32</v>
      </c>
      <c r="G6" t="s">
        <v>33</v>
      </c>
      <c r="H6" t="s">
        <v>34</v>
      </c>
      <c r="I6">
        <v>23.67</v>
      </c>
      <c r="J6">
        <v>8.8699999999999992</v>
      </c>
      <c r="K6">
        <v>7</v>
      </c>
      <c r="L6">
        <v>2</v>
      </c>
    </row>
    <row r="7" spans="1:12" x14ac:dyDescent="0.35">
      <c r="A7">
        <v>6</v>
      </c>
      <c r="B7" t="s">
        <v>12</v>
      </c>
      <c r="C7" t="s">
        <v>13</v>
      </c>
      <c r="D7" t="s">
        <v>14</v>
      </c>
      <c r="E7" t="s">
        <v>27</v>
      </c>
      <c r="F7" t="s">
        <v>35</v>
      </c>
      <c r="G7" t="s">
        <v>36</v>
      </c>
      <c r="H7" t="s">
        <v>37</v>
      </c>
      <c r="I7">
        <v>4.21</v>
      </c>
      <c r="J7">
        <v>4.9400000000000004</v>
      </c>
      <c r="K7">
        <v>2</v>
      </c>
      <c r="L7">
        <v>2</v>
      </c>
    </row>
    <row r="8" spans="1:12" x14ac:dyDescent="0.35">
      <c r="A8">
        <v>7</v>
      </c>
      <c r="B8" t="s">
        <v>38</v>
      </c>
      <c r="C8" t="s">
        <v>13</v>
      </c>
      <c r="D8" t="s">
        <v>14</v>
      </c>
      <c r="E8" t="s">
        <v>15</v>
      </c>
      <c r="F8" t="s">
        <v>39</v>
      </c>
      <c r="G8" t="s">
        <v>40</v>
      </c>
      <c r="H8" t="s">
        <v>41</v>
      </c>
      <c r="I8">
        <v>39.6</v>
      </c>
      <c r="J8">
        <v>5.89</v>
      </c>
      <c r="K8">
        <v>11</v>
      </c>
      <c r="L8">
        <v>2</v>
      </c>
    </row>
    <row r="9" spans="1:12" x14ac:dyDescent="0.35">
      <c r="A9">
        <v>8</v>
      </c>
      <c r="B9" t="s">
        <v>12</v>
      </c>
      <c r="C9" t="s">
        <v>13</v>
      </c>
      <c r="D9" t="s">
        <v>31</v>
      </c>
      <c r="E9" t="s">
        <v>15</v>
      </c>
      <c r="F9" t="s">
        <v>42</v>
      </c>
      <c r="G9" t="s">
        <v>43</v>
      </c>
      <c r="H9" t="s">
        <v>44</v>
      </c>
      <c r="I9">
        <v>8.92</v>
      </c>
      <c r="J9">
        <v>5.72</v>
      </c>
      <c r="K9">
        <v>5</v>
      </c>
      <c r="L9">
        <v>3</v>
      </c>
    </row>
    <row r="10" spans="1:12" x14ac:dyDescent="0.35">
      <c r="A10">
        <v>9</v>
      </c>
      <c r="B10" t="s">
        <v>12</v>
      </c>
      <c r="C10" t="s">
        <v>13</v>
      </c>
      <c r="D10" t="s">
        <v>14</v>
      </c>
      <c r="E10" t="s">
        <v>15</v>
      </c>
      <c r="F10" t="s">
        <v>45</v>
      </c>
      <c r="G10" t="s">
        <v>46</v>
      </c>
      <c r="H10" t="s">
        <v>47</v>
      </c>
      <c r="I10">
        <v>9.81</v>
      </c>
      <c r="J10">
        <v>5.12</v>
      </c>
      <c r="K10">
        <v>3</v>
      </c>
      <c r="L10">
        <v>1</v>
      </c>
    </row>
    <row r="11" spans="1:12" x14ac:dyDescent="0.35">
      <c r="A11">
        <v>10</v>
      </c>
      <c r="B11" t="s">
        <v>22</v>
      </c>
      <c r="C11" t="s">
        <v>13</v>
      </c>
      <c r="D11" t="s">
        <v>14</v>
      </c>
      <c r="E11" t="s">
        <v>27</v>
      </c>
      <c r="F11" t="s">
        <v>48</v>
      </c>
      <c r="G11" t="s">
        <v>49</v>
      </c>
      <c r="H11" t="s">
        <v>50</v>
      </c>
      <c r="I11">
        <v>13.07</v>
      </c>
      <c r="J11">
        <v>5.77</v>
      </c>
      <c r="K11">
        <v>5</v>
      </c>
      <c r="L11">
        <v>2</v>
      </c>
    </row>
    <row r="12" spans="1:12" x14ac:dyDescent="0.35">
      <c r="A12">
        <v>11</v>
      </c>
      <c r="B12" t="s">
        <v>22</v>
      </c>
      <c r="C12" t="s">
        <v>13</v>
      </c>
      <c r="D12" t="s">
        <v>31</v>
      </c>
      <c r="E12" t="s">
        <v>27</v>
      </c>
      <c r="F12" t="s">
        <v>51</v>
      </c>
      <c r="G12" t="s">
        <v>52</v>
      </c>
      <c r="H12" t="s">
        <v>53</v>
      </c>
      <c r="I12">
        <v>14.25</v>
      </c>
      <c r="J12">
        <v>8.06</v>
      </c>
      <c r="K12">
        <v>7</v>
      </c>
      <c r="L12">
        <v>3</v>
      </c>
    </row>
    <row r="13" spans="1:12" x14ac:dyDescent="0.35">
      <c r="A13">
        <v>12</v>
      </c>
      <c r="B13" t="s">
        <v>12</v>
      </c>
      <c r="C13" t="s">
        <v>13</v>
      </c>
      <c r="D13" t="s">
        <v>14</v>
      </c>
      <c r="E13" t="s">
        <v>15</v>
      </c>
      <c r="F13" t="s">
        <v>54</v>
      </c>
      <c r="G13" t="s">
        <v>55</v>
      </c>
      <c r="H13" t="s">
        <v>56</v>
      </c>
      <c r="I13">
        <v>9.74</v>
      </c>
      <c r="J13">
        <v>3.6</v>
      </c>
      <c r="K13">
        <v>5</v>
      </c>
      <c r="L13">
        <v>2</v>
      </c>
    </row>
    <row r="14" spans="1:12" x14ac:dyDescent="0.35">
      <c r="A14">
        <v>13</v>
      </c>
      <c r="B14" t="s">
        <v>38</v>
      </c>
      <c r="C14" t="s">
        <v>13</v>
      </c>
      <c r="D14" t="s">
        <v>14</v>
      </c>
      <c r="E14" t="s">
        <v>15</v>
      </c>
      <c r="F14" t="s">
        <v>57</v>
      </c>
      <c r="G14" t="s">
        <v>58</v>
      </c>
      <c r="H14" t="s">
        <v>59</v>
      </c>
      <c r="I14">
        <v>89.11</v>
      </c>
      <c r="J14">
        <v>6.01</v>
      </c>
      <c r="K14">
        <v>12</v>
      </c>
      <c r="L14">
        <v>1</v>
      </c>
    </row>
    <row r="15" spans="1:12" x14ac:dyDescent="0.35">
      <c r="A15">
        <v>14</v>
      </c>
      <c r="B15" t="s">
        <v>22</v>
      </c>
      <c r="C15" t="s">
        <v>13</v>
      </c>
      <c r="D15" t="s">
        <v>14</v>
      </c>
      <c r="E15" t="s">
        <v>27</v>
      </c>
      <c r="F15" t="s">
        <v>60</v>
      </c>
      <c r="G15" t="s">
        <v>61</v>
      </c>
      <c r="H15" t="s">
        <v>62</v>
      </c>
      <c r="I15">
        <v>15.43</v>
      </c>
      <c r="J15">
        <v>5.43</v>
      </c>
      <c r="K15">
        <v>3</v>
      </c>
      <c r="L15">
        <v>1</v>
      </c>
    </row>
    <row r="16" spans="1:12" x14ac:dyDescent="0.35">
      <c r="A16">
        <v>15</v>
      </c>
      <c r="B16" t="s">
        <v>38</v>
      </c>
      <c r="C16" t="s">
        <v>13</v>
      </c>
      <c r="D16" t="s">
        <v>14</v>
      </c>
      <c r="E16" t="s">
        <v>15</v>
      </c>
      <c r="F16" t="s">
        <v>63</v>
      </c>
      <c r="G16" t="s">
        <v>64</v>
      </c>
      <c r="H16" t="s">
        <v>65</v>
      </c>
      <c r="I16">
        <v>19.55</v>
      </c>
      <c r="J16">
        <v>7.45</v>
      </c>
      <c r="K16">
        <v>9</v>
      </c>
      <c r="L16">
        <v>3</v>
      </c>
    </row>
    <row r="17" spans="1:12" x14ac:dyDescent="0.35">
      <c r="A17">
        <v>16</v>
      </c>
      <c r="B17" t="s">
        <v>26</v>
      </c>
      <c r="C17" t="s">
        <v>13</v>
      </c>
      <c r="D17" t="s">
        <v>14</v>
      </c>
      <c r="E17" t="s">
        <v>27</v>
      </c>
      <c r="F17" t="s">
        <v>66</v>
      </c>
      <c r="G17" t="s">
        <v>67</v>
      </c>
      <c r="H17" t="s">
        <v>68</v>
      </c>
      <c r="I17">
        <v>4.91</v>
      </c>
      <c r="J17">
        <v>5.5</v>
      </c>
      <c r="K17">
        <v>3</v>
      </c>
      <c r="L17">
        <v>3</v>
      </c>
    </row>
    <row r="18" spans="1:12" x14ac:dyDescent="0.35">
      <c r="A18">
        <v>17</v>
      </c>
      <c r="B18" t="s">
        <v>38</v>
      </c>
      <c r="C18" t="s">
        <v>13</v>
      </c>
      <c r="D18" t="s">
        <v>31</v>
      </c>
      <c r="E18" t="s">
        <v>15</v>
      </c>
      <c r="F18" t="s">
        <v>69</v>
      </c>
      <c r="G18" t="s">
        <v>70</v>
      </c>
      <c r="H18" t="s">
        <v>71</v>
      </c>
      <c r="I18">
        <v>97.18</v>
      </c>
      <c r="J18">
        <v>8.4</v>
      </c>
      <c r="K18">
        <v>11</v>
      </c>
      <c r="L18">
        <v>1</v>
      </c>
    </row>
    <row r="19" spans="1:12" x14ac:dyDescent="0.35">
      <c r="A19">
        <v>18</v>
      </c>
      <c r="B19" t="s">
        <v>26</v>
      </c>
      <c r="C19" t="s">
        <v>13</v>
      </c>
      <c r="D19" t="s">
        <v>14</v>
      </c>
      <c r="E19" t="s">
        <v>72</v>
      </c>
      <c r="F19" t="s">
        <v>73</v>
      </c>
      <c r="G19" t="s">
        <v>74</v>
      </c>
      <c r="H19" t="s">
        <v>75</v>
      </c>
      <c r="I19">
        <v>8.01</v>
      </c>
      <c r="J19">
        <v>3.63</v>
      </c>
      <c r="K19">
        <v>2</v>
      </c>
      <c r="L19">
        <v>1</v>
      </c>
    </row>
    <row r="20" spans="1:12" x14ac:dyDescent="0.35">
      <c r="A20">
        <v>19</v>
      </c>
      <c r="B20" t="s">
        <v>26</v>
      </c>
      <c r="C20" t="s">
        <v>13</v>
      </c>
      <c r="D20" t="s">
        <v>14</v>
      </c>
      <c r="E20" t="s">
        <v>27</v>
      </c>
      <c r="F20" t="s">
        <v>76</v>
      </c>
      <c r="G20" t="s">
        <v>77</v>
      </c>
      <c r="H20" t="s">
        <v>78</v>
      </c>
      <c r="I20">
        <v>9.23</v>
      </c>
      <c r="J20">
        <v>4.88</v>
      </c>
      <c r="K20">
        <v>6</v>
      </c>
      <c r="L20">
        <v>3</v>
      </c>
    </row>
    <row r="21" spans="1:12" x14ac:dyDescent="0.35">
      <c r="A21">
        <v>20</v>
      </c>
      <c r="B21" t="s">
        <v>38</v>
      </c>
      <c r="C21" t="s">
        <v>13</v>
      </c>
      <c r="D21" t="s">
        <v>14</v>
      </c>
      <c r="E21" t="s">
        <v>15</v>
      </c>
      <c r="F21" t="s">
        <v>79</v>
      </c>
      <c r="G21" t="s">
        <v>80</v>
      </c>
      <c r="H21" t="s">
        <v>81</v>
      </c>
      <c r="I21">
        <v>25.55</v>
      </c>
      <c r="J21">
        <v>6.15</v>
      </c>
      <c r="K21">
        <v>11</v>
      </c>
      <c r="L21">
        <v>3</v>
      </c>
    </row>
    <row r="22" spans="1:12" x14ac:dyDescent="0.35">
      <c r="A22">
        <v>21</v>
      </c>
      <c r="B22" t="s">
        <v>38</v>
      </c>
      <c r="C22" t="s">
        <v>13</v>
      </c>
      <c r="D22" t="s">
        <v>31</v>
      </c>
      <c r="E22" t="s">
        <v>72</v>
      </c>
      <c r="F22" t="s">
        <v>82</v>
      </c>
      <c r="G22" t="s">
        <v>83</v>
      </c>
      <c r="H22" t="s">
        <v>84</v>
      </c>
      <c r="I22">
        <v>35.54</v>
      </c>
      <c r="J22">
        <v>7.09</v>
      </c>
      <c r="K22">
        <v>9</v>
      </c>
      <c r="L22">
        <v>2</v>
      </c>
    </row>
    <row r="23" spans="1:12" x14ac:dyDescent="0.35">
      <c r="A23">
        <v>22</v>
      </c>
      <c r="B23" t="s">
        <v>12</v>
      </c>
      <c r="C23" t="s">
        <v>13</v>
      </c>
      <c r="D23" t="s">
        <v>31</v>
      </c>
      <c r="E23" t="s">
        <v>15</v>
      </c>
      <c r="F23" t="s">
        <v>85</v>
      </c>
      <c r="G23" t="s">
        <v>86</v>
      </c>
      <c r="H23" t="s">
        <v>87</v>
      </c>
      <c r="I23">
        <v>0.5</v>
      </c>
      <c r="J23">
        <v>3.61</v>
      </c>
      <c r="K23">
        <v>0</v>
      </c>
      <c r="L23">
        <v>1</v>
      </c>
    </row>
    <row r="24" spans="1:12" x14ac:dyDescent="0.35">
      <c r="A24">
        <v>23</v>
      </c>
      <c r="B24" t="s">
        <v>38</v>
      </c>
      <c r="C24" t="s">
        <v>13</v>
      </c>
      <c r="D24" t="s">
        <v>14</v>
      </c>
      <c r="E24" t="s">
        <v>72</v>
      </c>
      <c r="F24" t="s">
        <v>88</v>
      </c>
      <c r="G24" t="s">
        <v>89</v>
      </c>
      <c r="H24" t="s">
        <v>90</v>
      </c>
      <c r="I24">
        <v>21.3</v>
      </c>
      <c r="J24">
        <v>5.75</v>
      </c>
      <c r="K24">
        <v>10</v>
      </c>
      <c r="L24">
        <v>3</v>
      </c>
    </row>
    <row r="25" spans="1:12" x14ac:dyDescent="0.35">
      <c r="A25">
        <v>24</v>
      </c>
      <c r="B25" t="s">
        <v>12</v>
      </c>
      <c r="C25" t="s">
        <v>13</v>
      </c>
      <c r="D25" t="s">
        <v>31</v>
      </c>
      <c r="E25" t="s">
        <v>27</v>
      </c>
      <c r="F25" t="s">
        <v>91</v>
      </c>
      <c r="G25" t="s">
        <v>92</v>
      </c>
      <c r="H25" t="s">
        <v>93</v>
      </c>
      <c r="I25">
        <v>19.73</v>
      </c>
      <c r="J25">
        <v>5.43</v>
      </c>
      <c r="K25">
        <v>8</v>
      </c>
      <c r="L25">
        <v>2</v>
      </c>
    </row>
    <row r="26" spans="1:12" x14ac:dyDescent="0.35">
      <c r="A26">
        <v>25</v>
      </c>
      <c r="B26" t="s">
        <v>38</v>
      </c>
      <c r="C26" t="s">
        <v>13</v>
      </c>
      <c r="D26" t="s">
        <v>14</v>
      </c>
      <c r="E26" t="s">
        <v>72</v>
      </c>
      <c r="F26" t="s">
        <v>94</v>
      </c>
      <c r="G26" t="s">
        <v>95</v>
      </c>
      <c r="H26" t="s">
        <v>96</v>
      </c>
      <c r="I26">
        <v>25.66</v>
      </c>
      <c r="J26">
        <v>7.21</v>
      </c>
      <c r="K26">
        <v>4</v>
      </c>
      <c r="L26">
        <v>1</v>
      </c>
    </row>
    <row r="27" spans="1:12" x14ac:dyDescent="0.35">
      <c r="A27">
        <v>26</v>
      </c>
      <c r="B27" t="s">
        <v>12</v>
      </c>
      <c r="C27" t="s">
        <v>13</v>
      </c>
      <c r="D27" t="s">
        <v>31</v>
      </c>
      <c r="E27" t="s">
        <v>72</v>
      </c>
      <c r="F27" t="s">
        <v>97</v>
      </c>
      <c r="G27" t="s">
        <v>98</v>
      </c>
      <c r="H27" t="s">
        <v>81</v>
      </c>
      <c r="I27">
        <v>2.81</v>
      </c>
      <c r="J27">
        <v>4.13</v>
      </c>
      <c r="K27">
        <v>1</v>
      </c>
      <c r="L27">
        <v>2</v>
      </c>
    </row>
    <row r="28" spans="1:12" x14ac:dyDescent="0.35">
      <c r="A28">
        <v>27</v>
      </c>
      <c r="B28" t="s">
        <v>22</v>
      </c>
      <c r="C28" t="s">
        <v>13</v>
      </c>
      <c r="D28" t="s">
        <v>31</v>
      </c>
      <c r="E28" t="s">
        <v>15</v>
      </c>
      <c r="F28" t="s">
        <v>99</v>
      </c>
      <c r="G28" t="s">
        <v>100</v>
      </c>
      <c r="H28" t="s">
        <v>101</v>
      </c>
      <c r="I28">
        <v>17.3</v>
      </c>
      <c r="J28">
        <v>6.36</v>
      </c>
      <c r="K28">
        <v>9</v>
      </c>
      <c r="L28">
        <v>3</v>
      </c>
    </row>
    <row r="29" spans="1:12" x14ac:dyDescent="0.35">
      <c r="A29">
        <v>28</v>
      </c>
      <c r="B29" t="s">
        <v>22</v>
      </c>
      <c r="C29" t="s">
        <v>13</v>
      </c>
      <c r="D29" t="s">
        <v>31</v>
      </c>
      <c r="E29" t="s">
        <v>27</v>
      </c>
      <c r="F29" t="s">
        <v>102</v>
      </c>
      <c r="G29" t="s">
        <v>103</v>
      </c>
      <c r="H29" t="s">
        <v>104</v>
      </c>
      <c r="I29">
        <v>28.12</v>
      </c>
      <c r="J29">
        <v>7.89</v>
      </c>
      <c r="K29">
        <v>12</v>
      </c>
      <c r="L29">
        <v>3</v>
      </c>
    </row>
    <row r="30" spans="1:12" x14ac:dyDescent="0.35">
      <c r="A30">
        <v>29</v>
      </c>
      <c r="B30" t="s">
        <v>26</v>
      </c>
      <c r="C30" t="s">
        <v>13</v>
      </c>
      <c r="D30" t="s">
        <v>14</v>
      </c>
      <c r="E30" t="s">
        <v>72</v>
      </c>
      <c r="F30" t="s">
        <v>105</v>
      </c>
      <c r="G30" t="s">
        <v>106</v>
      </c>
      <c r="H30" t="s">
        <v>107</v>
      </c>
      <c r="I30">
        <v>28.25</v>
      </c>
      <c r="J30">
        <v>3.14</v>
      </c>
      <c r="K30">
        <v>7</v>
      </c>
      <c r="L30">
        <v>1</v>
      </c>
    </row>
    <row r="31" spans="1:12" x14ac:dyDescent="0.35">
      <c r="A31">
        <v>30</v>
      </c>
      <c r="B31" t="s">
        <v>22</v>
      </c>
      <c r="C31" t="s">
        <v>13</v>
      </c>
      <c r="D31" t="s">
        <v>14</v>
      </c>
      <c r="E31" t="s">
        <v>72</v>
      </c>
      <c r="F31" t="s">
        <v>108</v>
      </c>
      <c r="G31" t="s">
        <v>109</v>
      </c>
      <c r="H31" t="s">
        <v>110</v>
      </c>
      <c r="I31">
        <v>10.029999999999999</v>
      </c>
      <c r="J31">
        <v>2.89</v>
      </c>
      <c r="K31">
        <v>2</v>
      </c>
      <c r="L31">
        <v>1</v>
      </c>
    </row>
    <row r="32" spans="1:12" x14ac:dyDescent="0.35">
      <c r="A32">
        <v>31</v>
      </c>
      <c r="B32" t="s">
        <v>22</v>
      </c>
      <c r="C32" t="s">
        <v>13</v>
      </c>
      <c r="D32" t="s">
        <v>14</v>
      </c>
      <c r="E32" t="s">
        <v>72</v>
      </c>
      <c r="F32" t="s">
        <v>111</v>
      </c>
      <c r="G32" t="s">
        <v>112</v>
      </c>
      <c r="H32" t="s">
        <v>113</v>
      </c>
      <c r="I32">
        <v>3.79</v>
      </c>
      <c r="J32">
        <v>5.59</v>
      </c>
      <c r="K32">
        <v>1</v>
      </c>
      <c r="L32">
        <v>1</v>
      </c>
    </row>
    <row r="33" spans="1:12" x14ac:dyDescent="0.35">
      <c r="A33">
        <v>32</v>
      </c>
      <c r="B33" t="s">
        <v>38</v>
      </c>
      <c r="C33" t="s">
        <v>13</v>
      </c>
      <c r="D33" t="s">
        <v>31</v>
      </c>
      <c r="E33" t="s">
        <v>72</v>
      </c>
      <c r="F33" t="s">
        <v>114</v>
      </c>
      <c r="G33" t="s">
        <v>115</v>
      </c>
      <c r="H33" t="s">
        <v>116</v>
      </c>
      <c r="I33">
        <v>19.18</v>
      </c>
      <c r="J33">
        <v>9.64</v>
      </c>
      <c r="K33">
        <v>6</v>
      </c>
      <c r="L33">
        <v>3</v>
      </c>
    </row>
    <row r="34" spans="1:12" x14ac:dyDescent="0.35">
      <c r="A34">
        <v>33</v>
      </c>
      <c r="B34" t="s">
        <v>26</v>
      </c>
      <c r="C34" t="s">
        <v>13</v>
      </c>
      <c r="D34" t="s">
        <v>14</v>
      </c>
      <c r="E34" t="s">
        <v>27</v>
      </c>
      <c r="F34" t="s">
        <v>117</v>
      </c>
      <c r="G34" t="s">
        <v>118</v>
      </c>
      <c r="H34" t="s">
        <v>119</v>
      </c>
      <c r="I34">
        <v>42.36</v>
      </c>
      <c r="J34">
        <v>6.07</v>
      </c>
      <c r="K34">
        <v>8</v>
      </c>
      <c r="L34">
        <v>1</v>
      </c>
    </row>
    <row r="35" spans="1:12" x14ac:dyDescent="0.35">
      <c r="A35">
        <v>34</v>
      </c>
      <c r="B35" t="s">
        <v>26</v>
      </c>
      <c r="C35" t="s">
        <v>13</v>
      </c>
      <c r="D35" t="s">
        <v>31</v>
      </c>
      <c r="E35" t="s">
        <v>27</v>
      </c>
      <c r="F35" t="s">
        <v>120</v>
      </c>
      <c r="G35" t="s">
        <v>121</v>
      </c>
      <c r="H35" t="s">
        <v>122</v>
      </c>
      <c r="I35">
        <v>9.74</v>
      </c>
      <c r="J35">
        <v>7.51</v>
      </c>
      <c r="K35">
        <v>4</v>
      </c>
      <c r="L35">
        <v>3</v>
      </c>
    </row>
    <row r="36" spans="1:12" x14ac:dyDescent="0.35">
      <c r="A36">
        <v>35</v>
      </c>
      <c r="B36" t="s">
        <v>12</v>
      </c>
      <c r="C36" t="s">
        <v>13</v>
      </c>
      <c r="D36" t="s">
        <v>14</v>
      </c>
      <c r="E36" t="s">
        <v>72</v>
      </c>
      <c r="F36" t="s">
        <v>123</v>
      </c>
      <c r="G36" t="s">
        <v>124</v>
      </c>
      <c r="H36" t="s">
        <v>125</v>
      </c>
      <c r="I36">
        <v>16.399999999999999</v>
      </c>
      <c r="J36">
        <v>2.2200000000000002</v>
      </c>
      <c r="K36">
        <v>5</v>
      </c>
      <c r="L36">
        <v>1</v>
      </c>
    </row>
    <row r="37" spans="1:12" x14ac:dyDescent="0.35">
      <c r="A37">
        <v>36</v>
      </c>
      <c r="B37" t="s">
        <v>22</v>
      </c>
      <c r="C37" t="s">
        <v>13</v>
      </c>
      <c r="D37" t="s">
        <v>14</v>
      </c>
      <c r="E37" t="s">
        <v>72</v>
      </c>
      <c r="F37" t="s">
        <v>126</v>
      </c>
      <c r="G37" t="s">
        <v>127</v>
      </c>
      <c r="H37" t="s">
        <v>128</v>
      </c>
      <c r="I37">
        <v>4.1399999999999997</v>
      </c>
      <c r="J37">
        <v>6.37</v>
      </c>
      <c r="K37">
        <v>1</v>
      </c>
      <c r="L37">
        <v>1</v>
      </c>
    </row>
    <row r="38" spans="1:12" x14ac:dyDescent="0.35">
      <c r="A38">
        <v>37</v>
      </c>
      <c r="B38" t="s">
        <v>38</v>
      </c>
      <c r="C38" t="s">
        <v>13</v>
      </c>
      <c r="D38" t="s">
        <v>31</v>
      </c>
      <c r="E38" t="s">
        <v>72</v>
      </c>
      <c r="F38" t="s">
        <v>129</v>
      </c>
      <c r="G38" t="s">
        <v>130</v>
      </c>
      <c r="H38" t="s">
        <v>131</v>
      </c>
      <c r="I38">
        <v>18.010000000000002</v>
      </c>
      <c r="J38">
        <v>7.33</v>
      </c>
      <c r="K38">
        <v>7</v>
      </c>
      <c r="L38">
        <v>3</v>
      </c>
    </row>
    <row r="39" spans="1:12" x14ac:dyDescent="0.35">
      <c r="A39">
        <v>38</v>
      </c>
      <c r="B39" t="s">
        <v>12</v>
      </c>
      <c r="C39" t="s">
        <v>13</v>
      </c>
      <c r="D39" t="s">
        <v>14</v>
      </c>
      <c r="E39" t="s">
        <v>15</v>
      </c>
      <c r="F39" t="s">
        <v>132</v>
      </c>
      <c r="G39" t="s">
        <v>133</v>
      </c>
      <c r="H39" t="s">
        <v>134</v>
      </c>
      <c r="I39">
        <v>19.82</v>
      </c>
      <c r="J39">
        <v>4.09</v>
      </c>
      <c r="K39">
        <v>5</v>
      </c>
      <c r="L39">
        <v>1</v>
      </c>
    </row>
    <row r="40" spans="1:12" x14ac:dyDescent="0.35">
      <c r="A40">
        <v>39</v>
      </c>
      <c r="B40" t="s">
        <v>22</v>
      </c>
      <c r="C40" t="s">
        <v>13</v>
      </c>
      <c r="D40" t="s">
        <v>31</v>
      </c>
      <c r="E40" t="s">
        <v>27</v>
      </c>
      <c r="F40" t="s">
        <v>135</v>
      </c>
      <c r="G40" t="s">
        <v>136</v>
      </c>
      <c r="H40" t="s">
        <v>137</v>
      </c>
      <c r="I40">
        <v>42.54</v>
      </c>
      <c r="J40">
        <v>6.4</v>
      </c>
      <c r="K40">
        <v>12</v>
      </c>
      <c r="L40">
        <v>2</v>
      </c>
    </row>
    <row r="41" spans="1:12" x14ac:dyDescent="0.35">
      <c r="A41">
        <v>40</v>
      </c>
      <c r="B41" t="s">
        <v>12</v>
      </c>
      <c r="C41" t="s">
        <v>13</v>
      </c>
      <c r="D41" t="s">
        <v>14</v>
      </c>
      <c r="E41" t="s">
        <v>27</v>
      </c>
      <c r="F41" t="s">
        <v>138</v>
      </c>
      <c r="G41" t="s">
        <v>139</v>
      </c>
      <c r="H41" t="s">
        <v>140</v>
      </c>
      <c r="I41">
        <v>5.94</v>
      </c>
      <c r="J41">
        <v>5.4</v>
      </c>
      <c r="K41">
        <v>3</v>
      </c>
      <c r="L41">
        <v>2</v>
      </c>
    </row>
    <row r="42" spans="1:12" x14ac:dyDescent="0.35">
      <c r="A42">
        <v>41</v>
      </c>
      <c r="B42" t="s">
        <v>38</v>
      </c>
      <c r="C42" t="s">
        <v>13</v>
      </c>
      <c r="D42" t="s">
        <v>31</v>
      </c>
      <c r="E42" t="s">
        <v>15</v>
      </c>
      <c r="F42" t="s">
        <v>141</v>
      </c>
      <c r="G42" t="s">
        <v>142</v>
      </c>
      <c r="H42" t="s">
        <v>143</v>
      </c>
      <c r="I42">
        <v>52.82</v>
      </c>
      <c r="J42">
        <v>10.130000000000001</v>
      </c>
      <c r="K42">
        <v>12</v>
      </c>
      <c r="L42">
        <v>2</v>
      </c>
    </row>
    <row r="43" spans="1:12" x14ac:dyDescent="0.35">
      <c r="A43">
        <v>42</v>
      </c>
      <c r="B43" t="s">
        <v>22</v>
      </c>
      <c r="C43" t="s">
        <v>13</v>
      </c>
      <c r="D43" t="s">
        <v>14</v>
      </c>
      <c r="E43" t="s">
        <v>15</v>
      </c>
      <c r="F43" t="s">
        <v>144</v>
      </c>
      <c r="G43" t="s">
        <v>145</v>
      </c>
      <c r="H43" t="s">
        <v>146</v>
      </c>
      <c r="I43">
        <v>46.22</v>
      </c>
      <c r="J43">
        <v>6.03</v>
      </c>
      <c r="K43">
        <v>9</v>
      </c>
      <c r="L43">
        <v>1</v>
      </c>
    </row>
    <row r="44" spans="1:12" x14ac:dyDescent="0.35">
      <c r="A44">
        <v>43</v>
      </c>
      <c r="B44" t="s">
        <v>12</v>
      </c>
      <c r="C44" t="s">
        <v>13</v>
      </c>
      <c r="D44" t="s">
        <v>31</v>
      </c>
      <c r="E44" t="s">
        <v>15</v>
      </c>
      <c r="F44" t="s">
        <v>147</v>
      </c>
      <c r="G44" t="s">
        <v>148</v>
      </c>
      <c r="H44" t="s">
        <v>149</v>
      </c>
      <c r="I44">
        <v>10.15</v>
      </c>
      <c r="J44">
        <v>4.7</v>
      </c>
      <c r="K44">
        <v>2</v>
      </c>
      <c r="L44">
        <v>1</v>
      </c>
    </row>
    <row r="45" spans="1:12" x14ac:dyDescent="0.35">
      <c r="A45">
        <v>44</v>
      </c>
      <c r="B45" t="s">
        <v>22</v>
      </c>
      <c r="C45" t="s">
        <v>13</v>
      </c>
      <c r="D45" t="s">
        <v>14</v>
      </c>
      <c r="E45" t="s">
        <v>15</v>
      </c>
      <c r="F45" t="s">
        <v>150</v>
      </c>
      <c r="G45" t="s">
        <v>151</v>
      </c>
      <c r="H45" t="s">
        <v>152</v>
      </c>
      <c r="I45">
        <v>46.56</v>
      </c>
      <c r="J45">
        <v>4.28</v>
      </c>
      <c r="K45">
        <v>9</v>
      </c>
      <c r="L45">
        <v>1</v>
      </c>
    </row>
    <row r="46" spans="1:12" x14ac:dyDescent="0.35">
      <c r="A46">
        <v>45</v>
      </c>
      <c r="B46" t="s">
        <v>26</v>
      </c>
      <c r="C46" t="s">
        <v>13</v>
      </c>
      <c r="D46" t="s">
        <v>14</v>
      </c>
      <c r="E46" t="s">
        <v>15</v>
      </c>
      <c r="F46" t="s">
        <v>153</v>
      </c>
      <c r="G46" t="s">
        <v>154</v>
      </c>
      <c r="H46" t="s">
        <v>155</v>
      </c>
      <c r="I46">
        <v>19.32</v>
      </c>
      <c r="J46">
        <v>5.96</v>
      </c>
      <c r="K46">
        <v>4</v>
      </c>
      <c r="L46">
        <v>1</v>
      </c>
    </row>
    <row r="47" spans="1:12" x14ac:dyDescent="0.35">
      <c r="A47">
        <v>46</v>
      </c>
      <c r="B47" t="s">
        <v>12</v>
      </c>
      <c r="C47" t="s">
        <v>13</v>
      </c>
      <c r="D47" t="s">
        <v>31</v>
      </c>
      <c r="E47" t="s">
        <v>15</v>
      </c>
      <c r="F47" t="s">
        <v>156</v>
      </c>
      <c r="G47" t="s">
        <v>157</v>
      </c>
      <c r="H47" t="s">
        <v>158</v>
      </c>
      <c r="I47">
        <v>8.9499999999999993</v>
      </c>
      <c r="J47">
        <v>5.0599999999999996</v>
      </c>
      <c r="K47">
        <v>2</v>
      </c>
      <c r="L47">
        <v>1</v>
      </c>
    </row>
    <row r="48" spans="1:12" x14ac:dyDescent="0.35">
      <c r="A48">
        <v>47</v>
      </c>
      <c r="B48" t="s">
        <v>38</v>
      </c>
      <c r="C48" t="s">
        <v>13</v>
      </c>
      <c r="D48" t="s">
        <v>14</v>
      </c>
      <c r="E48" t="s">
        <v>27</v>
      </c>
      <c r="F48" t="s">
        <v>159</v>
      </c>
      <c r="G48" t="s">
        <v>160</v>
      </c>
      <c r="H48" t="s">
        <v>161</v>
      </c>
      <c r="I48">
        <v>25.82</v>
      </c>
      <c r="J48">
        <v>9.93</v>
      </c>
      <c r="K48">
        <v>9</v>
      </c>
      <c r="L48">
        <v>3</v>
      </c>
    </row>
    <row r="49" spans="1:12" x14ac:dyDescent="0.35">
      <c r="A49">
        <v>48</v>
      </c>
      <c r="B49" t="s">
        <v>38</v>
      </c>
      <c r="C49" t="s">
        <v>13</v>
      </c>
      <c r="D49" t="s">
        <v>31</v>
      </c>
      <c r="E49" t="s">
        <v>27</v>
      </c>
      <c r="F49" t="s">
        <v>162</v>
      </c>
      <c r="G49" t="s">
        <v>163</v>
      </c>
      <c r="H49" t="s">
        <v>164</v>
      </c>
      <c r="I49">
        <v>30.39</v>
      </c>
      <c r="J49">
        <v>9.14</v>
      </c>
      <c r="K49">
        <v>9</v>
      </c>
      <c r="L49">
        <v>3</v>
      </c>
    </row>
    <row r="50" spans="1:12" x14ac:dyDescent="0.35">
      <c r="A50">
        <v>49</v>
      </c>
      <c r="B50" t="s">
        <v>12</v>
      </c>
      <c r="C50" t="s">
        <v>13</v>
      </c>
      <c r="D50" t="s">
        <v>14</v>
      </c>
      <c r="E50" t="s">
        <v>15</v>
      </c>
      <c r="F50" t="s">
        <v>165</v>
      </c>
      <c r="G50" t="s">
        <v>166</v>
      </c>
      <c r="H50" t="s">
        <v>167</v>
      </c>
      <c r="I50">
        <v>0.5</v>
      </c>
      <c r="J50">
        <v>3.98</v>
      </c>
      <c r="K50">
        <v>0</v>
      </c>
      <c r="L50">
        <v>1</v>
      </c>
    </row>
    <row r="51" spans="1:12" x14ac:dyDescent="0.35">
      <c r="A51">
        <v>50</v>
      </c>
      <c r="B51" t="s">
        <v>38</v>
      </c>
      <c r="C51" t="s">
        <v>13</v>
      </c>
      <c r="D51" t="s">
        <v>14</v>
      </c>
      <c r="E51" t="s">
        <v>72</v>
      </c>
      <c r="F51" t="s">
        <v>168</v>
      </c>
      <c r="G51" t="s">
        <v>169</v>
      </c>
      <c r="H51" t="s">
        <v>170</v>
      </c>
      <c r="I51">
        <v>20.54</v>
      </c>
      <c r="J51">
        <v>6.1</v>
      </c>
      <c r="K51">
        <v>6</v>
      </c>
      <c r="L51">
        <v>2</v>
      </c>
    </row>
    <row r="52" spans="1:12" x14ac:dyDescent="0.35">
      <c r="A52">
        <v>51</v>
      </c>
      <c r="B52" t="s">
        <v>38</v>
      </c>
      <c r="C52" t="s">
        <v>13</v>
      </c>
      <c r="D52" t="s">
        <v>14</v>
      </c>
      <c r="E52" t="s">
        <v>15</v>
      </c>
      <c r="F52" t="s">
        <v>171</v>
      </c>
      <c r="G52" t="s">
        <v>172</v>
      </c>
      <c r="H52" t="s">
        <v>173</v>
      </c>
      <c r="I52">
        <v>30</v>
      </c>
      <c r="J52">
        <v>8.4600000000000009</v>
      </c>
      <c r="K52">
        <v>4</v>
      </c>
      <c r="L52">
        <v>1</v>
      </c>
    </row>
    <row r="53" spans="1:12" x14ac:dyDescent="0.35">
      <c r="A53">
        <v>52</v>
      </c>
      <c r="B53" t="s">
        <v>22</v>
      </c>
      <c r="C53" t="s">
        <v>13</v>
      </c>
      <c r="D53" t="s">
        <v>31</v>
      </c>
      <c r="E53" t="s">
        <v>72</v>
      </c>
      <c r="F53" t="s">
        <v>174</v>
      </c>
      <c r="G53" t="s">
        <v>175</v>
      </c>
      <c r="H53" t="s">
        <v>176</v>
      </c>
      <c r="I53">
        <v>39.6</v>
      </c>
      <c r="J53">
        <v>7.22</v>
      </c>
      <c r="K53">
        <v>7</v>
      </c>
      <c r="L53">
        <v>1</v>
      </c>
    </row>
    <row r="54" spans="1:12" x14ac:dyDescent="0.35">
      <c r="A54">
        <v>53</v>
      </c>
      <c r="B54" t="s">
        <v>38</v>
      </c>
      <c r="C54" t="s">
        <v>13</v>
      </c>
      <c r="D54" t="s">
        <v>31</v>
      </c>
      <c r="E54" t="s">
        <v>15</v>
      </c>
      <c r="F54" t="s">
        <v>177</v>
      </c>
      <c r="G54" t="s">
        <v>178</v>
      </c>
      <c r="H54" t="s">
        <v>179</v>
      </c>
      <c r="I54">
        <v>82.28</v>
      </c>
      <c r="J54">
        <v>7.16</v>
      </c>
      <c r="K54">
        <v>9</v>
      </c>
      <c r="L54">
        <v>1</v>
      </c>
    </row>
    <row r="55" spans="1:12" x14ac:dyDescent="0.35">
      <c r="A55">
        <v>54</v>
      </c>
      <c r="B55" t="s">
        <v>38</v>
      </c>
      <c r="C55" t="s">
        <v>13</v>
      </c>
      <c r="D55" t="s">
        <v>31</v>
      </c>
      <c r="E55" t="s">
        <v>27</v>
      </c>
      <c r="F55" t="s">
        <v>180</v>
      </c>
      <c r="G55" t="s">
        <v>181</v>
      </c>
      <c r="H55" t="s">
        <v>182</v>
      </c>
      <c r="I55">
        <v>51.56</v>
      </c>
      <c r="J55">
        <v>11.11</v>
      </c>
      <c r="K55">
        <v>10</v>
      </c>
      <c r="L55">
        <v>2</v>
      </c>
    </row>
    <row r="56" spans="1:12" x14ac:dyDescent="0.35">
      <c r="A56">
        <v>55</v>
      </c>
      <c r="B56" t="s">
        <v>38</v>
      </c>
      <c r="C56" t="s">
        <v>13</v>
      </c>
      <c r="D56" t="s">
        <v>14</v>
      </c>
      <c r="E56" t="s">
        <v>72</v>
      </c>
      <c r="F56" t="s">
        <v>183</v>
      </c>
      <c r="G56" t="s">
        <v>184</v>
      </c>
      <c r="H56" t="s">
        <v>185</v>
      </c>
      <c r="I56">
        <v>19.39</v>
      </c>
      <c r="J56">
        <v>6.22</v>
      </c>
      <c r="K56">
        <v>9</v>
      </c>
      <c r="L56">
        <v>3</v>
      </c>
    </row>
    <row r="57" spans="1:12" x14ac:dyDescent="0.35">
      <c r="A57">
        <v>56</v>
      </c>
      <c r="B57" t="s">
        <v>38</v>
      </c>
      <c r="C57" t="s">
        <v>13</v>
      </c>
      <c r="D57" t="s">
        <v>14</v>
      </c>
      <c r="E57" t="s">
        <v>15</v>
      </c>
      <c r="F57" t="s">
        <v>186</v>
      </c>
      <c r="G57" t="s">
        <v>187</v>
      </c>
      <c r="H57" t="s">
        <v>188</v>
      </c>
      <c r="I57">
        <v>41.5</v>
      </c>
      <c r="J57">
        <v>7.78</v>
      </c>
      <c r="K57">
        <v>11</v>
      </c>
      <c r="L57">
        <v>2</v>
      </c>
    </row>
    <row r="58" spans="1:12" x14ac:dyDescent="0.35">
      <c r="A58">
        <v>57</v>
      </c>
      <c r="B58" t="s">
        <v>12</v>
      </c>
      <c r="C58" t="s">
        <v>13</v>
      </c>
      <c r="D58" t="s">
        <v>14</v>
      </c>
      <c r="E58" t="s">
        <v>72</v>
      </c>
      <c r="F58" t="s">
        <v>189</v>
      </c>
      <c r="G58" t="s">
        <v>190</v>
      </c>
      <c r="H58" t="s">
        <v>191</v>
      </c>
      <c r="I58">
        <v>14.18</v>
      </c>
      <c r="J58">
        <v>4.01</v>
      </c>
      <c r="K58">
        <v>8</v>
      </c>
      <c r="L58">
        <v>2</v>
      </c>
    </row>
    <row r="59" spans="1:12" x14ac:dyDescent="0.35">
      <c r="A59">
        <v>58</v>
      </c>
      <c r="B59" t="s">
        <v>22</v>
      </c>
      <c r="C59" t="s">
        <v>13</v>
      </c>
      <c r="D59" t="s">
        <v>31</v>
      </c>
      <c r="E59" t="s">
        <v>72</v>
      </c>
      <c r="F59" t="s">
        <v>192</v>
      </c>
      <c r="G59" t="s">
        <v>193</v>
      </c>
      <c r="H59" t="s">
        <v>194</v>
      </c>
      <c r="I59">
        <v>21.96</v>
      </c>
      <c r="J59">
        <v>7.45</v>
      </c>
      <c r="K59">
        <v>4</v>
      </c>
      <c r="L59">
        <v>1</v>
      </c>
    </row>
    <row r="60" spans="1:12" x14ac:dyDescent="0.35">
      <c r="A60">
        <v>59</v>
      </c>
      <c r="B60" t="s">
        <v>38</v>
      </c>
      <c r="C60" t="s">
        <v>13</v>
      </c>
      <c r="D60" t="s">
        <v>14</v>
      </c>
      <c r="E60" t="s">
        <v>15</v>
      </c>
      <c r="F60" t="s">
        <v>195</v>
      </c>
      <c r="G60" t="s">
        <v>196</v>
      </c>
      <c r="H60" t="s">
        <v>197</v>
      </c>
      <c r="I60">
        <v>30.87</v>
      </c>
      <c r="J60">
        <v>8.84</v>
      </c>
      <c r="K60">
        <v>8</v>
      </c>
      <c r="L60">
        <v>2</v>
      </c>
    </row>
    <row r="61" spans="1:12" x14ac:dyDescent="0.35">
      <c r="A61">
        <v>60</v>
      </c>
      <c r="B61" t="s">
        <v>26</v>
      </c>
      <c r="C61" t="s">
        <v>13</v>
      </c>
      <c r="D61" t="s">
        <v>14</v>
      </c>
      <c r="E61" t="s">
        <v>72</v>
      </c>
      <c r="F61" t="s">
        <v>198</v>
      </c>
      <c r="G61" t="s">
        <v>199</v>
      </c>
      <c r="H61" t="s">
        <v>200</v>
      </c>
      <c r="I61">
        <v>13.59</v>
      </c>
      <c r="J61">
        <v>2.2400000000000002</v>
      </c>
      <c r="K61">
        <v>3</v>
      </c>
      <c r="L61">
        <v>1</v>
      </c>
    </row>
    <row r="62" spans="1:12" x14ac:dyDescent="0.35">
      <c r="A62">
        <v>61</v>
      </c>
      <c r="B62" t="s">
        <v>26</v>
      </c>
      <c r="C62" t="s">
        <v>13</v>
      </c>
      <c r="D62" t="s">
        <v>14</v>
      </c>
      <c r="E62" t="s">
        <v>72</v>
      </c>
      <c r="F62" t="s">
        <v>201</v>
      </c>
      <c r="G62" t="s">
        <v>202</v>
      </c>
      <c r="H62" t="s">
        <v>203</v>
      </c>
      <c r="I62">
        <v>13.47</v>
      </c>
      <c r="J62">
        <v>4.33</v>
      </c>
      <c r="K62">
        <v>6</v>
      </c>
      <c r="L62">
        <v>2</v>
      </c>
    </row>
    <row r="63" spans="1:12" x14ac:dyDescent="0.35">
      <c r="A63">
        <v>62</v>
      </c>
      <c r="B63" t="s">
        <v>22</v>
      </c>
      <c r="C63" t="s">
        <v>13</v>
      </c>
      <c r="D63" t="s">
        <v>31</v>
      </c>
      <c r="E63" t="s">
        <v>72</v>
      </c>
      <c r="F63" t="s">
        <v>204</v>
      </c>
      <c r="G63" t="s">
        <v>205</v>
      </c>
      <c r="H63" t="s">
        <v>206</v>
      </c>
      <c r="I63">
        <v>39.479999999999997</v>
      </c>
      <c r="J63">
        <v>3.96</v>
      </c>
      <c r="K63">
        <v>7</v>
      </c>
      <c r="L63">
        <v>1</v>
      </c>
    </row>
    <row r="64" spans="1:12" x14ac:dyDescent="0.35">
      <c r="A64">
        <v>63</v>
      </c>
      <c r="B64" t="s">
        <v>26</v>
      </c>
      <c r="C64" t="s">
        <v>13</v>
      </c>
      <c r="D64" t="s">
        <v>14</v>
      </c>
      <c r="E64" t="s">
        <v>72</v>
      </c>
      <c r="F64" t="s">
        <v>207</v>
      </c>
      <c r="G64" t="s">
        <v>208</v>
      </c>
      <c r="H64" t="s">
        <v>209</v>
      </c>
      <c r="I64">
        <v>2.35</v>
      </c>
      <c r="J64">
        <v>4.49</v>
      </c>
      <c r="K64">
        <v>1</v>
      </c>
      <c r="L64">
        <v>1</v>
      </c>
    </row>
    <row r="65" spans="1:12" x14ac:dyDescent="0.35">
      <c r="A65">
        <v>64</v>
      </c>
      <c r="B65" t="s">
        <v>22</v>
      </c>
      <c r="C65" t="s">
        <v>13</v>
      </c>
      <c r="D65" t="s">
        <v>14</v>
      </c>
      <c r="E65" t="s">
        <v>15</v>
      </c>
      <c r="F65" t="s">
        <v>210</v>
      </c>
      <c r="G65" t="s">
        <v>211</v>
      </c>
      <c r="H65" t="s">
        <v>212</v>
      </c>
      <c r="I65">
        <v>11.71</v>
      </c>
      <c r="J65">
        <v>4.62</v>
      </c>
      <c r="K65">
        <v>5</v>
      </c>
      <c r="L65">
        <v>2</v>
      </c>
    </row>
    <row r="66" spans="1:12" x14ac:dyDescent="0.35">
      <c r="A66">
        <v>65</v>
      </c>
      <c r="B66" t="s">
        <v>12</v>
      </c>
      <c r="C66" t="s">
        <v>13</v>
      </c>
      <c r="D66" t="s">
        <v>31</v>
      </c>
      <c r="E66" t="s">
        <v>27</v>
      </c>
      <c r="F66" t="s">
        <v>213</v>
      </c>
      <c r="G66" t="s">
        <v>214</v>
      </c>
      <c r="H66" t="s">
        <v>215</v>
      </c>
      <c r="I66">
        <v>5.55</v>
      </c>
      <c r="J66">
        <v>3.18</v>
      </c>
      <c r="K66">
        <v>3</v>
      </c>
      <c r="L66">
        <v>3</v>
      </c>
    </row>
    <row r="67" spans="1:12" x14ac:dyDescent="0.35">
      <c r="A67">
        <v>66</v>
      </c>
      <c r="B67" t="s">
        <v>38</v>
      </c>
      <c r="C67" t="s">
        <v>13</v>
      </c>
      <c r="D67" t="s">
        <v>14</v>
      </c>
      <c r="E67" t="s">
        <v>72</v>
      </c>
      <c r="F67" t="s">
        <v>216</v>
      </c>
      <c r="G67" t="s">
        <v>217</v>
      </c>
      <c r="H67" t="s">
        <v>218</v>
      </c>
      <c r="I67">
        <v>12.83</v>
      </c>
      <c r="J67">
        <v>6.28</v>
      </c>
      <c r="K67">
        <v>4</v>
      </c>
      <c r="L67">
        <v>2</v>
      </c>
    </row>
    <row r="68" spans="1:12" x14ac:dyDescent="0.35">
      <c r="A68">
        <v>67</v>
      </c>
      <c r="B68" t="s">
        <v>12</v>
      </c>
      <c r="C68" t="s">
        <v>13</v>
      </c>
      <c r="D68" t="s">
        <v>14</v>
      </c>
      <c r="E68" t="s">
        <v>15</v>
      </c>
      <c r="F68" t="s">
        <v>219</v>
      </c>
      <c r="G68" t="s">
        <v>220</v>
      </c>
      <c r="H68" t="s">
        <v>221</v>
      </c>
      <c r="I68">
        <v>11.61</v>
      </c>
      <c r="J68">
        <v>3.71</v>
      </c>
      <c r="K68">
        <v>4</v>
      </c>
      <c r="L68">
        <v>2</v>
      </c>
    </row>
    <row r="69" spans="1:12" x14ac:dyDescent="0.35">
      <c r="A69">
        <v>68</v>
      </c>
      <c r="B69" t="s">
        <v>26</v>
      </c>
      <c r="C69" t="s">
        <v>13</v>
      </c>
      <c r="D69" t="s">
        <v>14</v>
      </c>
      <c r="E69" t="s">
        <v>27</v>
      </c>
      <c r="F69" t="s">
        <v>222</v>
      </c>
      <c r="G69" t="s">
        <v>223</v>
      </c>
      <c r="H69" t="s">
        <v>224</v>
      </c>
      <c r="I69">
        <v>6.48</v>
      </c>
      <c r="J69">
        <v>4.21</v>
      </c>
      <c r="K69">
        <v>3</v>
      </c>
      <c r="L69">
        <v>3</v>
      </c>
    </row>
    <row r="70" spans="1:12" x14ac:dyDescent="0.35">
      <c r="A70">
        <v>69</v>
      </c>
      <c r="B70" t="s">
        <v>26</v>
      </c>
      <c r="C70" t="s">
        <v>13</v>
      </c>
      <c r="D70" t="s">
        <v>14</v>
      </c>
      <c r="E70" t="s">
        <v>15</v>
      </c>
      <c r="F70" t="s">
        <v>225</v>
      </c>
      <c r="G70" t="s">
        <v>226</v>
      </c>
      <c r="H70" t="s">
        <v>227</v>
      </c>
      <c r="I70">
        <v>21.78</v>
      </c>
      <c r="J70">
        <v>3.7</v>
      </c>
      <c r="K70">
        <v>5</v>
      </c>
      <c r="L70">
        <v>1</v>
      </c>
    </row>
    <row r="71" spans="1:12" x14ac:dyDescent="0.35">
      <c r="A71">
        <v>70</v>
      </c>
      <c r="B71" t="s">
        <v>38</v>
      </c>
      <c r="C71" t="s">
        <v>13</v>
      </c>
      <c r="D71" t="s">
        <v>31</v>
      </c>
      <c r="E71" t="s">
        <v>15</v>
      </c>
      <c r="F71" t="s">
        <v>228</v>
      </c>
      <c r="G71" t="s">
        <v>229</v>
      </c>
      <c r="H71" t="s">
        <v>230</v>
      </c>
      <c r="I71">
        <v>22.75</v>
      </c>
      <c r="J71">
        <v>9.8800000000000008</v>
      </c>
      <c r="K71">
        <v>5</v>
      </c>
      <c r="L71">
        <v>2</v>
      </c>
    </row>
    <row r="72" spans="1:12" x14ac:dyDescent="0.35">
      <c r="A72">
        <v>71</v>
      </c>
      <c r="B72" t="s">
        <v>38</v>
      </c>
      <c r="C72" t="s">
        <v>13</v>
      </c>
      <c r="D72" t="s">
        <v>31</v>
      </c>
      <c r="E72" t="s">
        <v>27</v>
      </c>
      <c r="F72" t="s">
        <v>231</v>
      </c>
      <c r="G72" t="s">
        <v>232</v>
      </c>
      <c r="H72" t="s">
        <v>233</v>
      </c>
      <c r="I72">
        <v>37.36</v>
      </c>
      <c r="J72">
        <v>11.15</v>
      </c>
      <c r="K72">
        <v>10</v>
      </c>
      <c r="L72">
        <v>3</v>
      </c>
    </row>
    <row r="73" spans="1:12" x14ac:dyDescent="0.35">
      <c r="A73">
        <v>72</v>
      </c>
      <c r="B73" t="s">
        <v>22</v>
      </c>
      <c r="C73" t="s">
        <v>13</v>
      </c>
      <c r="D73" t="s">
        <v>14</v>
      </c>
      <c r="E73" t="s">
        <v>27</v>
      </c>
      <c r="F73" t="s">
        <v>234</v>
      </c>
      <c r="G73" t="s">
        <v>235</v>
      </c>
      <c r="H73" t="s">
        <v>236</v>
      </c>
      <c r="I73">
        <v>26.38</v>
      </c>
      <c r="J73">
        <v>6.79</v>
      </c>
      <c r="K73">
        <v>5</v>
      </c>
      <c r="L73">
        <v>1</v>
      </c>
    </row>
    <row r="74" spans="1:12" x14ac:dyDescent="0.35">
      <c r="A74">
        <v>73</v>
      </c>
      <c r="B74" t="s">
        <v>38</v>
      </c>
      <c r="C74" t="s">
        <v>13</v>
      </c>
      <c r="D74" t="s">
        <v>31</v>
      </c>
      <c r="E74" t="s">
        <v>15</v>
      </c>
      <c r="F74" t="s">
        <v>237</v>
      </c>
      <c r="G74" t="s">
        <v>238</v>
      </c>
      <c r="H74" t="s">
        <v>239</v>
      </c>
      <c r="I74">
        <v>52.93</v>
      </c>
      <c r="J74">
        <v>8.11</v>
      </c>
      <c r="K74">
        <v>6</v>
      </c>
      <c r="L74">
        <v>1</v>
      </c>
    </row>
    <row r="75" spans="1:12" x14ac:dyDescent="0.35">
      <c r="A75">
        <v>74</v>
      </c>
      <c r="B75" t="s">
        <v>26</v>
      </c>
      <c r="C75" t="s">
        <v>13</v>
      </c>
      <c r="D75" t="s">
        <v>31</v>
      </c>
      <c r="E75" t="s">
        <v>27</v>
      </c>
      <c r="F75" t="s">
        <v>240</v>
      </c>
      <c r="G75" t="s">
        <v>241</v>
      </c>
      <c r="H75" t="s">
        <v>242</v>
      </c>
      <c r="I75">
        <v>38.03</v>
      </c>
      <c r="J75">
        <v>6.16</v>
      </c>
      <c r="K75">
        <v>6</v>
      </c>
      <c r="L75">
        <v>1</v>
      </c>
    </row>
    <row r="76" spans="1:12" x14ac:dyDescent="0.35">
      <c r="A76">
        <v>75</v>
      </c>
      <c r="B76" t="s">
        <v>26</v>
      </c>
      <c r="C76" t="s">
        <v>13</v>
      </c>
      <c r="D76" t="s">
        <v>14</v>
      </c>
      <c r="E76" t="s">
        <v>15</v>
      </c>
      <c r="F76" t="s">
        <v>243</v>
      </c>
      <c r="G76" t="s">
        <v>244</v>
      </c>
      <c r="H76" t="s">
        <v>245</v>
      </c>
      <c r="I76">
        <v>12.13</v>
      </c>
      <c r="J76">
        <v>3.84</v>
      </c>
      <c r="K76">
        <v>7</v>
      </c>
      <c r="L76">
        <v>3</v>
      </c>
    </row>
    <row r="77" spans="1:12" x14ac:dyDescent="0.35">
      <c r="A77">
        <v>76</v>
      </c>
      <c r="B77" t="s">
        <v>38</v>
      </c>
      <c r="C77" t="s">
        <v>13</v>
      </c>
      <c r="D77" t="s">
        <v>14</v>
      </c>
      <c r="E77" t="s">
        <v>72</v>
      </c>
      <c r="F77" t="s">
        <v>246</v>
      </c>
      <c r="G77" t="s">
        <v>247</v>
      </c>
      <c r="H77" t="s">
        <v>248</v>
      </c>
      <c r="I77">
        <v>30.21</v>
      </c>
      <c r="J77">
        <v>7.3</v>
      </c>
      <c r="K77">
        <v>5</v>
      </c>
      <c r="L77">
        <v>1</v>
      </c>
    </row>
    <row r="78" spans="1:12" x14ac:dyDescent="0.35">
      <c r="A78">
        <v>77</v>
      </c>
      <c r="B78" t="s">
        <v>22</v>
      </c>
      <c r="C78" t="s">
        <v>13</v>
      </c>
      <c r="D78" t="s">
        <v>14</v>
      </c>
      <c r="E78" t="s">
        <v>72</v>
      </c>
      <c r="F78" t="s">
        <v>249</v>
      </c>
      <c r="G78" t="s">
        <v>250</v>
      </c>
      <c r="H78" t="s">
        <v>251</v>
      </c>
      <c r="I78">
        <v>16.71</v>
      </c>
      <c r="J78">
        <v>4.12</v>
      </c>
      <c r="K78">
        <v>4</v>
      </c>
      <c r="L78">
        <v>1</v>
      </c>
    </row>
    <row r="79" spans="1:12" x14ac:dyDescent="0.35">
      <c r="A79">
        <v>78</v>
      </c>
      <c r="B79" t="s">
        <v>26</v>
      </c>
      <c r="C79" t="s">
        <v>13</v>
      </c>
      <c r="D79" t="s">
        <v>31</v>
      </c>
      <c r="E79" t="s">
        <v>15</v>
      </c>
      <c r="F79" t="s">
        <v>252</v>
      </c>
      <c r="G79" t="s">
        <v>253</v>
      </c>
      <c r="H79" t="s">
        <v>254</v>
      </c>
      <c r="I79">
        <v>14.59</v>
      </c>
      <c r="J79">
        <v>6.96</v>
      </c>
      <c r="K79">
        <v>5</v>
      </c>
      <c r="L79">
        <v>2</v>
      </c>
    </row>
    <row r="80" spans="1:12" x14ac:dyDescent="0.35">
      <c r="A80">
        <v>79</v>
      </c>
      <c r="B80" t="s">
        <v>26</v>
      </c>
      <c r="C80" t="s">
        <v>13</v>
      </c>
      <c r="D80" t="s">
        <v>31</v>
      </c>
      <c r="E80" t="s">
        <v>72</v>
      </c>
      <c r="F80" t="s">
        <v>255</v>
      </c>
      <c r="G80" t="s">
        <v>256</v>
      </c>
      <c r="H80" t="s">
        <v>257</v>
      </c>
      <c r="I80">
        <v>29.05</v>
      </c>
      <c r="J80">
        <v>4.8899999999999997</v>
      </c>
      <c r="K80">
        <v>6</v>
      </c>
      <c r="L80">
        <v>1</v>
      </c>
    </row>
    <row r="81" spans="1:12" x14ac:dyDescent="0.35">
      <c r="A81">
        <v>80</v>
      </c>
      <c r="B81" t="s">
        <v>12</v>
      </c>
      <c r="C81" t="s">
        <v>13</v>
      </c>
      <c r="D81" t="s">
        <v>31</v>
      </c>
      <c r="E81" t="s">
        <v>72</v>
      </c>
      <c r="F81" t="s">
        <v>258</v>
      </c>
      <c r="G81" t="s">
        <v>259</v>
      </c>
      <c r="H81" t="s">
        <v>260</v>
      </c>
      <c r="I81">
        <v>2.13</v>
      </c>
      <c r="J81">
        <v>5.78</v>
      </c>
      <c r="K81">
        <v>1</v>
      </c>
      <c r="L81">
        <v>3</v>
      </c>
    </row>
    <row r="82" spans="1:12" x14ac:dyDescent="0.35">
      <c r="A82">
        <v>81</v>
      </c>
      <c r="B82" t="s">
        <v>26</v>
      </c>
      <c r="C82" t="s">
        <v>13</v>
      </c>
      <c r="D82" t="s">
        <v>14</v>
      </c>
      <c r="E82" t="s">
        <v>15</v>
      </c>
      <c r="F82" t="s">
        <v>261</v>
      </c>
      <c r="G82" t="s">
        <v>262</v>
      </c>
      <c r="H82" t="s">
        <v>263</v>
      </c>
      <c r="I82">
        <v>18.989999999999998</v>
      </c>
      <c r="J82">
        <v>4.18</v>
      </c>
      <c r="K82">
        <v>4</v>
      </c>
      <c r="L82">
        <v>1</v>
      </c>
    </row>
    <row r="83" spans="1:12" x14ac:dyDescent="0.35">
      <c r="A83">
        <v>82</v>
      </c>
      <c r="B83" t="s">
        <v>26</v>
      </c>
      <c r="C83" t="s">
        <v>13</v>
      </c>
      <c r="D83" t="s">
        <v>14</v>
      </c>
      <c r="E83" t="s">
        <v>27</v>
      </c>
      <c r="F83" t="s">
        <v>264</v>
      </c>
      <c r="G83" t="s">
        <v>265</v>
      </c>
      <c r="H83" t="s">
        <v>266</v>
      </c>
      <c r="I83">
        <v>22.38</v>
      </c>
      <c r="J83">
        <v>4.3600000000000003</v>
      </c>
      <c r="K83">
        <v>8</v>
      </c>
      <c r="L83">
        <v>2</v>
      </c>
    </row>
    <row r="84" spans="1:12" x14ac:dyDescent="0.35">
      <c r="A84">
        <v>83</v>
      </c>
      <c r="B84" t="s">
        <v>26</v>
      </c>
      <c r="C84" t="s">
        <v>13</v>
      </c>
      <c r="D84" t="s">
        <v>31</v>
      </c>
      <c r="E84" t="s">
        <v>72</v>
      </c>
      <c r="F84" t="s">
        <v>267</v>
      </c>
      <c r="G84" t="s">
        <v>268</v>
      </c>
      <c r="H84" t="s">
        <v>269</v>
      </c>
      <c r="I84">
        <v>33.85</v>
      </c>
      <c r="J84">
        <v>5.37</v>
      </c>
      <c r="K84">
        <v>7</v>
      </c>
      <c r="L84">
        <v>1</v>
      </c>
    </row>
    <row r="85" spans="1:12" x14ac:dyDescent="0.35">
      <c r="A85">
        <v>84</v>
      </c>
      <c r="B85" t="s">
        <v>38</v>
      </c>
      <c r="C85" t="s">
        <v>13</v>
      </c>
      <c r="D85" t="s">
        <v>31</v>
      </c>
      <c r="E85" t="s">
        <v>15</v>
      </c>
      <c r="F85" t="s">
        <v>270</v>
      </c>
      <c r="G85" t="s">
        <v>271</v>
      </c>
      <c r="H85" t="s">
        <v>272</v>
      </c>
      <c r="I85">
        <v>82.99</v>
      </c>
      <c r="J85">
        <v>9.3699999999999992</v>
      </c>
      <c r="K85">
        <v>9</v>
      </c>
      <c r="L85">
        <v>1</v>
      </c>
    </row>
    <row r="86" spans="1:12" x14ac:dyDescent="0.35">
      <c r="A86">
        <v>85</v>
      </c>
      <c r="B86" t="s">
        <v>38</v>
      </c>
      <c r="C86" t="s">
        <v>13</v>
      </c>
      <c r="D86" t="s">
        <v>14</v>
      </c>
      <c r="E86" t="s">
        <v>27</v>
      </c>
      <c r="F86" t="s">
        <v>273</v>
      </c>
      <c r="G86" t="s">
        <v>274</v>
      </c>
      <c r="H86" t="s">
        <v>275</v>
      </c>
      <c r="I86">
        <v>23.67</v>
      </c>
      <c r="J86">
        <v>7.53</v>
      </c>
      <c r="K86">
        <v>8</v>
      </c>
      <c r="L86">
        <v>3</v>
      </c>
    </row>
    <row r="87" spans="1:12" x14ac:dyDescent="0.35">
      <c r="A87">
        <v>86</v>
      </c>
      <c r="B87" t="s">
        <v>12</v>
      </c>
      <c r="C87" t="s">
        <v>13</v>
      </c>
      <c r="D87" t="s">
        <v>14</v>
      </c>
      <c r="E87" t="s">
        <v>72</v>
      </c>
      <c r="F87" t="s">
        <v>276</v>
      </c>
      <c r="G87" t="s">
        <v>277</v>
      </c>
      <c r="H87" t="s">
        <v>278</v>
      </c>
      <c r="I87">
        <v>14.83</v>
      </c>
      <c r="J87">
        <v>5</v>
      </c>
      <c r="K87">
        <v>5</v>
      </c>
      <c r="L87">
        <v>1</v>
      </c>
    </row>
    <row r="88" spans="1:12" x14ac:dyDescent="0.35">
      <c r="A88">
        <v>87</v>
      </c>
      <c r="B88" t="s">
        <v>22</v>
      </c>
      <c r="C88" t="s">
        <v>13</v>
      </c>
      <c r="D88" t="s">
        <v>14</v>
      </c>
      <c r="E88" t="s">
        <v>27</v>
      </c>
      <c r="F88" t="s">
        <v>279</v>
      </c>
      <c r="G88" t="s">
        <v>280</v>
      </c>
      <c r="H88" t="s">
        <v>281</v>
      </c>
      <c r="I88">
        <v>20.22</v>
      </c>
      <c r="J88">
        <v>6.44</v>
      </c>
      <c r="K88">
        <v>6</v>
      </c>
      <c r="L88">
        <v>2</v>
      </c>
    </row>
    <row r="89" spans="1:12" x14ac:dyDescent="0.35">
      <c r="A89">
        <v>88</v>
      </c>
      <c r="B89" t="s">
        <v>26</v>
      </c>
      <c r="C89" t="s">
        <v>13</v>
      </c>
      <c r="D89" t="s">
        <v>14</v>
      </c>
      <c r="E89" t="s">
        <v>72</v>
      </c>
      <c r="F89" t="s">
        <v>282</v>
      </c>
      <c r="G89" t="s">
        <v>283</v>
      </c>
      <c r="H89" t="s">
        <v>284</v>
      </c>
      <c r="I89">
        <v>6.94</v>
      </c>
      <c r="J89">
        <v>4.0999999999999996</v>
      </c>
      <c r="K89">
        <v>5</v>
      </c>
      <c r="L89">
        <v>3</v>
      </c>
    </row>
    <row r="90" spans="1:12" x14ac:dyDescent="0.35">
      <c r="A90">
        <v>89</v>
      </c>
      <c r="B90" t="s">
        <v>12</v>
      </c>
      <c r="C90" t="s">
        <v>13</v>
      </c>
      <c r="D90" t="s">
        <v>31</v>
      </c>
      <c r="E90" t="s">
        <v>27</v>
      </c>
      <c r="F90" t="s">
        <v>285</v>
      </c>
      <c r="G90" t="s">
        <v>286</v>
      </c>
      <c r="H90" t="s">
        <v>287</v>
      </c>
      <c r="I90">
        <v>22.92</v>
      </c>
      <c r="J90">
        <v>5.98</v>
      </c>
      <c r="K90">
        <v>7</v>
      </c>
      <c r="L90">
        <v>2</v>
      </c>
    </row>
    <row r="91" spans="1:12" x14ac:dyDescent="0.35">
      <c r="A91">
        <v>90</v>
      </c>
      <c r="B91" t="s">
        <v>26</v>
      </c>
      <c r="C91" t="s">
        <v>13</v>
      </c>
      <c r="D91" t="s">
        <v>14</v>
      </c>
      <c r="E91" t="s">
        <v>27</v>
      </c>
      <c r="F91" t="s">
        <v>288</v>
      </c>
      <c r="G91" t="s">
        <v>289</v>
      </c>
      <c r="H91" t="s">
        <v>290</v>
      </c>
      <c r="I91">
        <v>8.8800000000000008</v>
      </c>
      <c r="J91">
        <v>3.55</v>
      </c>
      <c r="K91">
        <v>4</v>
      </c>
      <c r="L91">
        <v>2</v>
      </c>
    </row>
    <row r="92" spans="1:12" x14ac:dyDescent="0.35">
      <c r="A92">
        <v>91</v>
      </c>
      <c r="B92" t="s">
        <v>12</v>
      </c>
      <c r="C92" t="s">
        <v>13</v>
      </c>
      <c r="D92" t="s">
        <v>31</v>
      </c>
      <c r="E92" t="s">
        <v>27</v>
      </c>
      <c r="F92" t="s">
        <v>291</v>
      </c>
      <c r="G92" t="s">
        <v>292</v>
      </c>
      <c r="H92" t="s">
        <v>293</v>
      </c>
      <c r="I92">
        <v>18.739999999999998</v>
      </c>
      <c r="J92">
        <v>5.19</v>
      </c>
      <c r="K92">
        <v>7</v>
      </c>
      <c r="L92">
        <v>2</v>
      </c>
    </row>
    <row r="93" spans="1:12" x14ac:dyDescent="0.35">
      <c r="A93">
        <v>92</v>
      </c>
      <c r="B93" t="s">
        <v>22</v>
      </c>
      <c r="C93" t="s">
        <v>13</v>
      </c>
      <c r="D93" t="s">
        <v>14</v>
      </c>
      <c r="E93" t="s">
        <v>27</v>
      </c>
      <c r="F93" t="s">
        <v>294</v>
      </c>
      <c r="G93" t="s">
        <v>295</v>
      </c>
      <c r="H93" t="s">
        <v>296</v>
      </c>
      <c r="I93">
        <v>16.02</v>
      </c>
      <c r="J93">
        <v>6.37</v>
      </c>
      <c r="K93">
        <v>6</v>
      </c>
      <c r="L93">
        <v>2</v>
      </c>
    </row>
    <row r="94" spans="1:12" x14ac:dyDescent="0.35">
      <c r="A94">
        <v>93</v>
      </c>
      <c r="B94" t="s">
        <v>22</v>
      </c>
      <c r="C94" t="s">
        <v>13</v>
      </c>
      <c r="D94" t="s">
        <v>31</v>
      </c>
      <c r="E94" t="s">
        <v>72</v>
      </c>
      <c r="F94" t="s">
        <v>297</v>
      </c>
      <c r="G94" t="s">
        <v>298</v>
      </c>
      <c r="H94" t="s">
        <v>299</v>
      </c>
      <c r="I94">
        <v>12.48</v>
      </c>
      <c r="J94">
        <v>5.55</v>
      </c>
      <c r="K94">
        <v>5</v>
      </c>
      <c r="L94">
        <v>2</v>
      </c>
    </row>
    <row r="95" spans="1:12" x14ac:dyDescent="0.35">
      <c r="A95">
        <v>94</v>
      </c>
      <c r="B95" t="s">
        <v>22</v>
      </c>
      <c r="C95" t="s">
        <v>13</v>
      </c>
      <c r="D95" t="s">
        <v>31</v>
      </c>
      <c r="E95" t="s">
        <v>27</v>
      </c>
      <c r="F95" t="s">
        <v>300</v>
      </c>
      <c r="G95" t="s">
        <v>301</v>
      </c>
      <c r="H95" t="s">
        <v>302</v>
      </c>
      <c r="I95">
        <v>21.4</v>
      </c>
      <c r="J95">
        <v>5.91</v>
      </c>
      <c r="K95">
        <v>5</v>
      </c>
      <c r="L95">
        <v>2</v>
      </c>
    </row>
    <row r="96" spans="1:12" x14ac:dyDescent="0.35">
      <c r="A96">
        <v>95</v>
      </c>
      <c r="B96" t="s">
        <v>38</v>
      </c>
      <c r="C96" t="s">
        <v>13</v>
      </c>
      <c r="D96" t="s">
        <v>31</v>
      </c>
      <c r="E96" t="s">
        <v>27</v>
      </c>
      <c r="F96" t="s">
        <v>303</v>
      </c>
      <c r="G96" t="s">
        <v>304</v>
      </c>
      <c r="H96" t="s">
        <v>305</v>
      </c>
      <c r="I96">
        <v>30.68</v>
      </c>
      <c r="J96">
        <v>8.9</v>
      </c>
      <c r="K96">
        <v>10</v>
      </c>
      <c r="L96">
        <v>3</v>
      </c>
    </row>
    <row r="97" spans="1:12" x14ac:dyDescent="0.35">
      <c r="A97">
        <v>96</v>
      </c>
      <c r="B97" t="s">
        <v>12</v>
      </c>
      <c r="C97" t="s">
        <v>13</v>
      </c>
      <c r="D97" t="s">
        <v>31</v>
      </c>
      <c r="E97" t="s">
        <v>72</v>
      </c>
      <c r="F97" t="s">
        <v>306</v>
      </c>
      <c r="G97" t="s">
        <v>307</v>
      </c>
      <c r="H97" t="s">
        <v>308</v>
      </c>
      <c r="I97">
        <v>12.38</v>
      </c>
      <c r="J97">
        <v>4.7300000000000004</v>
      </c>
      <c r="K97">
        <v>3</v>
      </c>
      <c r="L97">
        <v>1</v>
      </c>
    </row>
    <row r="98" spans="1:12" x14ac:dyDescent="0.35">
      <c r="A98">
        <v>97</v>
      </c>
      <c r="B98" t="s">
        <v>12</v>
      </c>
      <c r="C98" t="s">
        <v>13</v>
      </c>
      <c r="D98" t="s">
        <v>14</v>
      </c>
      <c r="E98" t="s">
        <v>72</v>
      </c>
      <c r="F98" t="s">
        <v>309</v>
      </c>
      <c r="G98" t="s">
        <v>310</v>
      </c>
      <c r="H98" t="s">
        <v>311</v>
      </c>
      <c r="I98">
        <v>11.23</v>
      </c>
      <c r="J98">
        <v>2.73</v>
      </c>
      <c r="K98">
        <v>3</v>
      </c>
      <c r="L98">
        <v>1</v>
      </c>
    </row>
    <row r="99" spans="1:12" x14ac:dyDescent="0.35">
      <c r="A99">
        <v>98</v>
      </c>
      <c r="B99" t="s">
        <v>22</v>
      </c>
      <c r="C99" t="s">
        <v>13</v>
      </c>
      <c r="D99" t="s">
        <v>31</v>
      </c>
      <c r="E99" t="s">
        <v>15</v>
      </c>
      <c r="F99" t="s">
        <v>312</v>
      </c>
      <c r="G99" t="s">
        <v>108</v>
      </c>
      <c r="H99" t="s">
        <v>313</v>
      </c>
      <c r="I99">
        <v>9.4600000000000009</v>
      </c>
      <c r="J99">
        <v>6.08</v>
      </c>
      <c r="K99">
        <v>3</v>
      </c>
      <c r="L99">
        <v>2</v>
      </c>
    </row>
    <row r="100" spans="1:12" x14ac:dyDescent="0.35">
      <c r="A100">
        <v>99</v>
      </c>
      <c r="B100" t="s">
        <v>38</v>
      </c>
      <c r="C100" t="s">
        <v>13</v>
      </c>
      <c r="D100" t="s">
        <v>31</v>
      </c>
      <c r="E100" t="s">
        <v>72</v>
      </c>
      <c r="F100" t="s">
        <v>314</v>
      </c>
      <c r="G100" t="s">
        <v>315</v>
      </c>
      <c r="H100" t="s">
        <v>316</v>
      </c>
      <c r="I100">
        <v>57.07</v>
      </c>
      <c r="J100">
        <v>6.79</v>
      </c>
      <c r="K100">
        <v>7</v>
      </c>
      <c r="L100">
        <v>1</v>
      </c>
    </row>
    <row r="101" spans="1:12" x14ac:dyDescent="0.35">
      <c r="A101">
        <v>100</v>
      </c>
      <c r="B101" t="s">
        <v>38</v>
      </c>
      <c r="C101" t="s">
        <v>13</v>
      </c>
      <c r="D101" t="s">
        <v>14</v>
      </c>
      <c r="E101" t="s">
        <v>15</v>
      </c>
      <c r="F101" t="s">
        <v>317</v>
      </c>
      <c r="G101" t="s">
        <v>318</v>
      </c>
      <c r="H101" t="s">
        <v>319</v>
      </c>
      <c r="I101">
        <v>10.46</v>
      </c>
      <c r="J101">
        <v>6.22</v>
      </c>
      <c r="K101">
        <v>4</v>
      </c>
      <c r="L101">
        <v>3</v>
      </c>
    </row>
    <row r="102" spans="1:12" x14ac:dyDescent="0.35">
      <c r="A102">
        <v>101</v>
      </c>
      <c r="B102" t="s">
        <v>26</v>
      </c>
      <c r="C102" t="s">
        <v>13</v>
      </c>
      <c r="D102" t="s">
        <v>31</v>
      </c>
      <c r="E102" t="s">
        <v>15</v>
      </c>
      <c r="F102" t="s">
        <v>320</v>
      </c>
      <c r="G102" t="s">
        <v>321</v>
      </c>
      <c r="H102" t="s">
        <v>322</v>
      </c>
      <c r="I102">
        <v>10.96</v>
      </c>
      <c r="J102">
        <v>7.27</v>
      </c>
      <c r="K102">
        <v>7</v>
      </c>
      <c r="L102">
        <v>3</v>
      </c>
    </row>
    <row r="103" spans="1:12" x14ac:dyDescent="0.35">
      <c r="A103">
        <v>102</v>
      </c>
      <c r="B103" t="s">
        <v>22</v>
      </c>
      <c r="C103" t="s">
        <v>13</v>
      </c>
      <c r="D103" t="s">
        <v>14</v>
      </c>
      <c r="E103" t="s">
        <v>15</v>
      </c>
      <c r="F103" t="s">
        <v>323</v>
      </c>
      <c r="G103" t="s">
        <v>324</v>
      </c>
      <c r="H103" t="s">
        <v>325</v>
      </c>
      <c r="I103">
        <v>12.25</v>
      </c>
      <c r="J103">
        <v>5.33</v>
      </c>
      <c r="K103">
        <v>7</v>
      </c>
      <c r="L103">
        <v>3</v>
      </c>
    </row>
    <row r="104" spans="1:12" x14ac:dyDescent="0.35">
      <c r="A104">
        <v>103</v>
      </c>
      <c r="B104" t="s">
        <v>12</v>
      </c>
      <c r="C104" t="s">
        <v>13</v>
      </c>
      <c r="D104" t="s">
        <v>14</v>
      </c>
      <c r="E104" t="s">
        <v>27</v>
      </c>
      <c r="F104" t="s">
        <v>326</v>
      </c>
      <c r="G104" t="s">
        <v>327</v>
      </c>
      <c r="H104" t="s">
        <v>328</v>
      </c>
      <c r="I104">
        <v>5.01</v>
      </c>
      <c r="J104">
        <v>2.84</v>
      </c>
      <c r="K104">
        <v>1</v>
      </c>
      <c r="L104">
        <v>1</v>
      </c>
    </row>
    <row r="105" spans="1:12" x14ac:dyDescent="0.35">
      <c r="A105">
        <v>104</v>
      </c>
      <c r="B105" t="s">
        <v>38</v>
      </c>
      <c r="C105" t="s">
        <v>13</v>
      </c>
      <c r="D105" t="s">
        <v>14</v>
      </c>
      <c r="E105" t="s">
        <v>27</v>
      </c>
      <c r="F105" t="s">
        <v>329</v>
      </c>
      <c r="G105" t="s">
        <v>330</v>
      </c>
      <c r="H105" t="s">
        <v>331</v>
      </c>
      <c r="I105">
        <v>31.36</v>
      </c>
      <c r="J105">
        <v>9</v>
      </c>
      <c r="K105">
        <v>8</v>
      </c>
      <c r="L105">
        <v>2</v>
      </c>
    </row>
    <row r="106" spans="1:12" x14ac:dyDescent="0.35">
      <c r="A106">
        <v>105</v>
      </c>
      <c r="B106" t="s">
        <v>26</v>
      </c>
      <c r="C106" t="s">
        <v>13</v>
      </c>
      <c r="D106" t="s">
        <v>14</v>
      </c>
      <c r="E106" t="s">
        <v>27</v>
      </c>
      <c r="F106" t="s">
        <v>332</v>
      </c>
      <c r="G106" t="s">
        <v>333</v>
      </c>
      <c r="H106" t="s">
        <v>334</v>
      </c>
      <c r="I106">
        <v>7.32</v>
      </c>
      <c r="J106">
        <v>6.18</v>
      </c>
      <c r="K106">
        <v>4</v>
      </c>
      <c r="L106">
        <v>3</v>
      </c>
    </row>
    <row r="107" spans="1:12" x14ac:dyDescent="0.35">
      <c r="A107">
        <v>106</v>
      </c>
      <c r="B107" t="s">
        <v>38</v>
      </c>
      <c r="C107" t="s">
        <v>13</v>
      </c>
      <c r="D107" t="s">
        <v>31</v>
      </c>
      <c r="E107" t="s">
        <v>27</v>
      </c>
      <c r="F107" t="s">
        <v>335</v>
      </c>
      <c r="G107" t="s">
        <v>336</v>
      </c>
      <c r="H107" t="s">
        <v>337</v>
      </c>
      <c r="I107">
        <v>34.42</v>
      </c>
      <c r="J107">
        <v>8.86</v>
      </c>
      <c r="K107">
        <v>11</v>
      </c>
      <c r="L107">
        <v>3</v>
      </c>
    </row>
    <row r="108" spans="1:12" x14ac:dyDescent="0.35">
      <c r="A108">
        <v>107</v>
      </c>
      <c r="B108" t="s">
        <v>38</v>
      </c>
      <c r="C108" t="s">
        <v>13</v>
      </c>
      <c r="D108" t="s">
        <v>31</v>
      </c>
      <c r="E108" t="s">
        <v>72</v>
      </c>
      <c r="F108" t="s">
        <v>338</v>
      </c>
      <c r="G108" t="s">
        <v>339</v>
      </c>
      <c r="H108" t="s">
        <v>340</v>
      </c>
      <c r="I108">
        <v>13.45</v>
      </c>
      <c r="J108">
        <v>8.3800000000000008</v>
      </c>
      <c r="K108">
        <v>4</v>
      </c>
      <c r="L108">
        <v>2</v>
      </c>
    </row>
    <row r="109" spans="1:12" x14ac:dyDescent="0.35">
      <c r="A109">
        <v>108</v>
      </c>
      <c r="B109" t="s">
        <v>22</v>
      </c>
      <c r="C109" t="s">
        <v>13</v>
      </c>
      <c r="D109" t="s">
        <v>31</v>
      </c>
      <c r="E109" t="s">
        <v>15</v>
      </c>
      <c r="F109" t="s">
        <v>341</v>
      </c>
      <c r="G109" t="s">
        <v>342</v>
      </c>
      <c r="H109" t="s">
        <v>343</v>
      </c>
      <c r="I109">
        <v>21.88</v>
      </c>
      <c r="J109">
        <v>6.39</v>
      </c>
      <c r="K109">
        <v>7</v>
      </c>
      <c r="L109">
        <v>2</v>
      </c>
    </row>
    <row r="110" spans="1:12" x14ac:dyDescent="0.35">
      <c r="A110">
        <v>109</v>
      </c>
      <c r="B110" t="s">
        <v>38</v>
      </c>
      <c r="C110" t="s">
        <v>13</v>
      </c>
      <c r="D110" t="s">
        <v>14</v>
      </c>
      <c r="E110" t="s">
        <v>27</v>
      </c>
      <c r="F110" t="s">
        <v>344</v>
      </c>
      <c r="G110" t="s">
        <v>345</v>
      </c>
      <c r="H110" t="s">
        <v>346</v>
      </c>
      <c r="I110">
        <v>20.74</v>
      </c>
      <c r="J110">
        <v>8.35</v>
      </c>
      <c r="K110">
        <v>4</v>
      </c>
      <c r="L110">
        <v>2</v>
      </c>
    </row>
    <row r="111" spans="1:12" x14ac:dyDescent="0.35">
      <c r="A111">
        <v>110</v>
      </c>
      <c r="B111" t="s">
        <v>38</v>
      </c>
      <c r="C111" t="s">
        <v>13</v>
      </c>
      <c r="D111" t="s">
        <v>31</v>
      </c>
      <c r="E111" t="s">
        <v>15</v>
      </c>
      <c r="F111" t="s">
        <v>347</v>
      </c>
      <c r="G111" t="s">
        <v>348</v>
      </c>
      <c r="H111" t="s">
        <v>349</v>
      </c>
      <c r="I111">
        <v>24.67</v>
      </c>
      <c r="J111">
        <v>9.5</v>
      </c>
      <c r="K111">
        <v>8</v>
      </c>
      <c r="L111">
        <v>3</v>
      </c>
    </row>
    <row r="112" spans="1:12" x14ac:dyDescent="0.35">
      <c r="A112">
        <v>111</v>
      </c>
      <c r="B112" t="s">
        <v>22</v>
      </c>
      <c r="C112" t="s">
        <v>13</v>
      </c>
      <c r="D112" t="s">
        <v>14</v>
      </c>
      <c r="E112" t="s">
        <v>72</v>
      </c>
      <c r="F112" t="s">
        <v>350</v>
      </c>
      <c r="G112" t="s">
        <v>351</v>
      </c>
      <c r="H112" t="s">
        <v>352</v>
      </c>
      <c r="I112">
        <v>17.89</v>
      </c>
      <c r="J112">
        <v>5.12</v>
      </c>
      <c r="K112">
        <v>4</v>
      </c>
      <c r="L112">
        <v>1</v>
      </c>
    </row>
    <row r="113" spans="1:12" x14ac:dyDescent="0.35">
      <c r="A113">
        <v>112</v>
      </c>
      <c r="B113" t="s">
        <v>26</v>
      </c>
      <c r="C113" t="s">
        <v>13</v>
      </c>
      <c r="D113" t="s">
        <v>31</v>
      </c>
      <c r="E113" t="s">
        <v>27</v>
      </c>
      <c r="F113" t="s">
        <v>353</v>
      </c>
      <c r="G113" t="s">
        <v>354</v>
      </c>
      <c r="H113" t="s">
        <v>355</v>
      </c>
      <c r="I113">
        <v>63.63</v>
      </c>
      <c r="J113">
        <v>6.37</v>
      </c>
      <c r="K113">
        <v>10</v>
      </c>
      <c r="L113">
        <v>1</v>
      </c>
    </row>
    <row r="114" spans="1:12" x14ac:dyDescent="0.35">
      <c r="A114">
        <v>113</v>
      </c>
      <c r="B114" t="s">
        <v>26</v>
      </c>
      <c r="C114" t="s">
        <v>13</v>
      </c>
      <c r="D114" t="s">
        <v>14</v>
      </c>
      <c r="E114" t="s">
        <v>27</v>
      </c>
      <c r="F114" t="s">
        <v>356</v>
      </c>
      <c r="G114" t="s">
        <v>357</v>
      </c>
      <c r="H114" t="s">
        <v>358</v>
      </c>
      <c r="I114">
        <v>10.44</v>
      </c>
      <c r="J114">
        <v>5.23</v>
      </c>
      <c r="K114">
        <v>6</v>
      </c>
      <c r="L114">
        <v>3</v>
      </c>
    </row>
    <row r="115" spans="1:12" x14ac:dyDescent="0.35">
      <c r="A115">
        <v>114</v>
      </c>
      <c r="B115" t="s">
        <v>38</v>
      </c>
      <c r="C115" t="s">
        <v>13</v>
      </c>
      <c r="D115" t="s">
        <v>31</v>
      </c>
      <c r="E115" t="s">
        <v>15</v>
      </c>
      <c r="F115" t="s">
        <v>359</v>
      </c>
      <c r="G115" t="s">
        <v>360</v>
      </c>
      <c r="H115" t="s">
        <v>361</v>
      </c>
      <c r="I115">
        <v>25.35</v>
      </c>
      <c r="J115">
        <v>10.25</v>
      </c>
      <c r="K115">
        <v>6</v>
      </c>
      <c r="L115">
        <v>2</v>
      </c>
    </row>
    <row r="116" spans="1:12" x14ac:dyDescent="0.35">
      <c r="A116">
        <v>115</v>
      </c>
      <c r="B116" t="s">
        <v>38</v>
      </c>
      <c r="C116" t="s">
        <v>13</v>
      </c>
      <c r="D116" t="s">
        <v>31</v>
      </c>
      <c r="E116" t="s">
        <v>27</v>
      </c>
      <c r="F116" t="s">
        <v>362</v>
      </c>
      <c r="G116" t="s">
        <v>363</v>
      </c>
      <c r="H116" t="s">
        <v>364</v>
      </c>
      <c r="I116">
        <v>122.3</v>
      </c>
      <c r="J116">
        <v>8.2100000000000009</v>
      </c>
      <c r="K116">
        <v>12</v>
      </c>
      <c r="L116">
        <v>1</v>
      </c>
    </row>
    <row r="117" spans="1:12" x14ac:dyDescent="0.35">
      <c r="A117">
        <v>116</v>
      </c>
      <c r="B117" t="s">
        <v>38</v>
      </c>
      <c r="C117" t="s">
        <v>13</v>
      </c>
      <c r="D117" t="s">
        <v>14</v>
      </c>
      <c r="E117" t="s">
        <v>15</v>
      </c>
      <c r="F117" t="s">
        <v>365</v>
      </c>
      <c r="G117" t="s">
        <v>366</v>
      </c>
      <c r="H117" t="s">
        <v>367</v>
      </c>
      <c r="I117">
        <v>15.07</v>
      </c>
      <c r="J117">
        <v>8.5399999999999991</v>
      </c>
      <c r="K117">
        <v>6</v>
      </c>
      <c r="L117">
        <v>3</v>
      </c>
    </row>
    <row r="118" spans="1:12" x14ac:dyDescent="0.35">
      <c r="A118">
        <v>117</v>
      </c>
      <c r="B118" t="s">
        <v>26</v>
      </c>
      <c r="C118" t="s">
        <v>13</v>
      </c>
      <c r="D118" t="s">
        <v>31</v>
      </c>
      <c r="E118" t="s">
        <v>15</v>
      </c>
      <c r="F118" t="s">
        <v>368</v>
      </c>
      <c r="G118" t="s">
        <v>369</v>
      </c>
      <c r="H118" t="s">
        <v>370</v>
      </c>
      <c r="I118">
        <v>64.930000000000007</v>
      </c>
      <c r="J118">
        <v>6.31</v>
      </c>
      <c r="K118">
        <v>12</v>
      </c>
      <c r="L118">
        <v>1</v>
      </c>
    </row>
    <row r="119" spans="1:12" x14ac:dyDescent="0.35">
      <c r="A119">
        <v>118</v>
      </c>
      <c r="B119" t="s">
        <v>38</v>
      </c>
      <c r="C119" t="s">
        <v>13</v>
      </c>
      <c r="D119" t="s">
        <v>14</v>
      </c>
      <c r="E119" t="s">
        <v>27</v>
      </c>
      <c r="F119" t="s">
        <v>371</v>
      </c>
      <c r="G119" t="s">
        <v>372</v>
      </c>
      <c r="H119" t="s">
        <v>373</v>
      </c>
      <c r="I119">
        <v>11.18</v>
      </c>
      <c r="J119">
        <v>7.24</v>
      </c>
      <c r="K119">
        <v>5</v>
      </c>
      <c r="L119">
        <v>3</v>
      </c>
    </row>
    <row r="120" spans="1:12" x14ac:dyDescent="0.35">
      <c r="A120">
        <v>119</v>
      </c>
      <c r="B120" t="s">
        <v>22</v>
      </c>
      <c r="C120" t="s">
        <v>13</v>
      </c>
      <c r="D120" t="s">
        <v>31</v>
      </c>
      <c r="E120" t="s">
        <v>72</v>
      </c>
      <c r="F120" t="s">
        <v>374</v>
      </c>
      <c r="G120" t="s">
        <v>375</v>
      </c>
      <c r="H120" t="s">
        <v>376</v>
      </c>
      <c r="I120">
        <v>12.46</v>
      </c>
      <c r="J120">
        <v>4.74</v>
      </c>
      <c r="K120">
        <v>5</v>
      </c>
      <c r="L120">
        <v>3</v>
      </c>
    </row>
    <row r="121" spans="1:12" x14ac:dyDescent="0.35">
      <c r="A121">
        <v>120</v>
      </c>
      <c r="B121" t="s">
        <v>22</v>
      </c>
      <c r="C121" t="s">
        <v>13</v>
      </c>
      <c r="D121" t="s">
        <v>31</v>
      </c>
      <c r="E121" t="s">
        <v>72</v>
      </c>
      <c r="F121" t="s">
        <v>377</v>
      </c>
      <c r="G121" t="s">
        <v>378</v>
      </c>
      <c r="H121" t="s">
        <v>379</v>
      </c>
      <c r="I121">
        <v>18.12</v>
      </c>
      <c r="J121">
        <v>4.8</v>
      </c>
      <c r="K121">
        <v>7</v>
      </c>
      <c r="L121">
        <v>2</v>
      </c>
    </row>
    <row r="122" spans="1:12" x14ac:dyDescent="0.35">
      <c r="A122">
        <v>121</v>
      </c>
      <c r="B122" t="s">
        <v>26</v>
      </c>
      <c r="C122" t="s">
        <v>13</v>
      </c>
      <c r="D122" t="s">
        <v>31</v>
      </c>
      <c r="E122" t="s">
        <v>27</v>
      </c>
      <c r="F122" t="s">
        <v>380</v>
      </c>
      <c r="G122" t="s">
        <v>381</v>
      </c>
      <c r="H122" t="s">
        <v>382</v>
      </c>
      <c r="I122">
        <v>27.09</v>
      </c>
      <c r="J122">
        <v>5.67</v>
      </c>
      <c r="K122">
        <v>8</v>
      </c>
      <c r="L122">
        <v>2</v>
      </c>
    </row>
    <row r="123" spans="1:12" x14ac:dyDescent="0.35">
      <c r="A123">
        <v>122</v>
      </c>
      <c r="B123" t="s">
        <v>12</v>
      </c>
      <c r="C123" t="s">
        <v>13</v>
      </c>
      <c r="D123" t="s">
        <v>14</v>
      </c>
      <c r="E123" t="s">
        <v>27</v>
      </c>
      <c r="F123" t="s">
        <v>383</v>
      </c>
      <c r="G123" t="s">
        <v>384</v>
      </c>
      <c r="H123" t="s">
        <v>385</v>
      </c>
      <c r="I123">
        <v>9.6</v>
      </c>
      <c r="J123">
        <v>5.49</v>
      </c>
      <c r="K123">
        <v>4</v>
      </c>
      <c r="L123">
        <v>3</v>
      </c>
    </row>
    <row r="124" spans="1:12" x14ac:dyDescent="0.35">
      <c r="A124">
        <v>123</v>
      </c>
      <c r="B124" t="s">
        <v>12</v>
      </c>
      <c r="C124" t="s">
        <v>13</v>
      </c>
      <c r="D124" t="s">
        <v>14</v>
      </c>
      <c r="E124" t="s">
        <v>72</v>
      </c>
      <c r="F124" t="s">
        <v>386</v>
      </c>
      <c r="G124" t="s">
        <v>387</v>
      </c>
      <c r="H124" t="s">
        <v>388</v>
      </c>
      <c r="I124">
        <v>11.32</v>
      </c>
      <c r="J124">
        <v>4.58</v>
      </c>
      <c r="K124">
        <v>3</v>
      </c>
      <c r="L124">
        <v>1</v>
      </c>
    </row>
    <row r="125" spans="1:12" x14ac:dyDescent="0.35">
      <c r="A125">
        <v>124</v>
      </c>
      <c r="B125" t="s">
        <v>26</v>
      </c>
      <c r="C125" t="s">
        <v>13</v>
      </c>
      <c r="D125" t="s">
        <v>14</v>
      </c>
      <c r="E125" t="s">
        <v>15</v>
      </c>
      <c r="F125" t="s">
        <v>389</v>
      </c>
      <c r="G125" t="s">
        <v>390</v>
      </c>
      <c r="H125" t="s">
        <v>391</v>
      </c>
      <c r="I125">
        <v>8.23</v>
      </c>
      <c r="J125">
        <v>3.65</v>
      </c>
      <c r="K125">
        <v>3</v>
      </c>
      <c r="L125">
        <v>2</v>
      </c>
    </row>
    <row r="126" spans="1:12" x14ac:dyDescent="0.35">
      <c r="A126">
        <v>125</v>
      </c>
      <c r="B126" t="s">
        <v>38</v>
      </c>
      <c r="C126" t="s">
        <v>13</v>
      </c>
      <c r="D126" t="s">
        <v>31</v>
      </c>
      <c r="E126" t="s">
        <v>27</v>
      </c>
      <c r="F126" t="s">
        <v>392</v>
      </c>
      <c r="G126" t="s">
        <v>393</v>
      </c>
      <c r="H126" t="s">
        <v>394</v>
      </c>
      <c r="I126">
        <v>102.44</v>
      </c>
      <c r="J126">
        <v>9.08</v>
      </c>
      <c r="K126">
        <v>10</v>
      </c>
      <c r="L126">
        <v>1</v>
      </c>
    </row>
    <row r="127" spans="1:12" x14ac:dyDescent="0.35">
      <c r="A127">
        <v>126</v>
      </c>
      <c r="B127" t="s">
        <v>22</v>
      </c>
      <c r="C127" t="s">
        <v>13</v>
      </c>
      <c r="D127" t="s">
        <v>14</v>
      </c>
      <c r="E127" t="s">
        <v>27</v>
      </c>
      <c r="F127" t="s">
        <v>395</v>
      </c>
      <c r="G127" t="s">
        <v>396</v>
      </c>
      <c r="H127" t="s">
        <v>397</v>
      </c>
      <c r="I127">
        <v>36.119999999999997</v>
      </c>
      <c r="J127">
        <v>7.7</v>
      </c>
      <c r="K127">
        <v>6</v>
      </c>
      <c r="L127">
        <v>1</v>
      </c>
    </row>
    <row r="128" spans="1:12" x14ac:dyDescent="0.35">
      <c r="A128">
        <v>127</v>
      </c>
      <c r="B128" t="s">
        <v>12</v>
      </c>
      <c r="C128" t="s">
        <v>13</v>
      </c>
      <c r="D128" t="s">
        <v>14</v>
      </c>
      <c r="E128" t="s">
        <v>72</v>
      </c>
      <c r="F128" t="s">
        <v>398</v>
      </c>
      <c r="G128" t="s">
        <v>399</v>
      </c>
      <c r="H128" t="s">
        <v>400</v>
      </c>
      <c r="I128">
        <v>12.57</v>
      </c>
      <c r="J128">
        <v>4.1500000000000004</v>
      </c>
      <c r="K128">
        <v>9</v>
      </c>
      <c r="L128">
        <v>3</v>
      </c>
    </row>
    <row r="129" spans="1:12" x14ac:dyDescent="0.35">
      <c r="A129">
        <v>128</v>
      </c>
      <c r="B129" t="s">
        <v>26</v>
      </c>
      <c r="C129" t="s">
        <v>13</v>
      </c>
      <c r="D129" t="s">
        <v>31</v>
      </c>
      <c r="E129" t="s">
        <v>72</v>
      </c>
      <c r="F129" t="s">
        <v>401</v>
      </c>
      <c r="G129" t="s">
        <v>402</v>
      </c>
      <c r="H129" t="s">
        <v>249</v>
      </c>
      <c r="I129">
        <v>6.95</v>
      </c>
      <c r="J129">
        <v>4.95</v>
      </c>
      <c r="K129">
        <v>3</v>
      </c>
      <c r="L129">
        <v>2</v>
      </c>
    </row>
    <row r="130" spans="1:12" x14ac:dyDescent="0.35">
      <c r="A130">
        <v>129</v>
      </c>
      <c r="B130" t="s">
        <v>26</v>
      </c>
      <c r="C130" t="s">
        <v>13</v>
      </c>
      <c r="D130" t="s">
        <v>14</v>
      </c>
      <c r="E130" t="s">
        <v>15</v>
      </c>
      <c r="F130" t="s">
        <v>403</v>
      </c>
      <c r="G130" t="s">
        <v>404</v>
      </c>
      <c r="H130" t="s">
        <v>405</v>
      </c>
      <c r="I130">
        <v>10.43</v>
      </c>
      <c r="J130">
        <v>3.11</v>
      </c>
      <c r="K130">
        <v>6</v>
      </c>
      <c r="L130">
        <v>3</v>
      </c>
    </row>
    <row r="131" spans="1:12" x14ac:dyDescent="0.35">
      <c r="A131">
        <v>130</v>
      </c>
      <c r="B131" t="s">
        <v>22</v>
      </c>
      <c r="C131" t="s">
        <v>13</v>
      </c>
      <c r="D131" t="s">
        <v>31</v>
      </c>
      <c r="E131" t="s">
        <v>72</v>
      </c>
      <c r="F131" t="s">
        <v>406</v>
      </c>
      <c r="G131" t="s">
        <v>407</v>
      </c>
      <c r="H131" t="s">
        <v>408</v>
      </c>
      <c r="I131">
        <v>19.71</v>
      </c>
      <c r="J131">
        <v>5.45</v>
      </c>
      <c r="K131">
        <v>7</v>
      </c>
      <c r="L131">
        <v>2</v>
      </c>
    </row>
    <row r="132" spans="1:12" x14ac:dyDescent="0.35">
      <c r="A132">
        <v>131</v>
      </c>
      <c r="B132" t="s">
        <v>22</v>
      </c>
      <c r="C132" t="s">
        <v>13</v>
      </c>
      <c r="D132" t="s">
        <v>14</v>
      </c>
      <c r="E132" t="s">
        <v>72</v>
      </c>
      <c r="F132" t="s">
        <v>409</v>
      </c>
      <c r="G132" t="s">
        <v>410</v>
      </c>
      <c r="H132" t="s">
        <v>411</v>
      </c>
      <c r="I132">
        <v>10.61</v>
      </c>
      <c r="J132">
        <v>3.47</v>
      </c>
      <c r="K132">
        <v>6</v>
      </c>
      <c r="L132">
        <v>3</v>
      </c>
    </row>
    <row r="133" spans="1:12" x14ac:dyDescent="0.35">
      <c r="A133">
        <v>132</v>
      </c>
      <c r="B133" t="s">
        <v>38</v>
      </c>
      <c r="C133" t="s">
        <v>13</v>
      </c>
      <c r="D133" t="s">
        <v>31</v>
      </c>
      <c r="E133" t="s">
        <v>72</v>
      </c>
      <c r="F133" t="s">
        <v>412</v>
      </c>
      <c r="G133" t="s">
        <v>413</v>
      </c>
      <c r="H133" t="s">
        <v>414</v>
      </c>
      <c r="I133">
        <v>10.95</v>
      </c>
      <c r="J133">
        <v>7.27</v>
      </c>
      <c r="K133">
        <v>4</v>
      </c>
      <c r="L133">
        <v>3</v>
      </c>
    </row>
    <row r="134" spans="1:12" x14ac:dyDescent="0.35">
      <c r="A134">
        <v>133</v>
      </c>
      <c r="B134" t="s">
        <v>26</v>
      </c>
      <c r="C134" t="s">
        <v>13</v>
      </c>
      <c r="D134" t="s">
        <v>31</v>
      </c>
      <c r="E134" t="s">
        <v>15</v>
      </c>
      <c r="F134" t="s">
        <v>415</v>
      </c>
      <c r="G134" t="s">
        <v>416</v>
      </c>
      <c r="H134" t="s">
        <v>417</v>
      </c>
      <c r="I134">
        <v>1.64</v>
      </c>
      <c r="J134">
        <v>3.48</v>
      </c>
      <c r="K134">
        <v>1</v>
      </c>
      <c r="L134">
        <v>3</v>
      </c>
    </row>
    <row r="135" spans="1:12" x14ac:dyDescent="0.35">
      <c r="A135">
        <v>134</v>
      </c>
      <c r="B135" t="s">
        <v>12</v>
      </c>
      <c r="C135" t="s">
        <v>13</v>
      </c>
      <c r="D135" t="s">
        <v>31</v>
      </c>
      <c r="E135" t="s">
        <v>15</v>
      </c>
      <c r="F135" t="s">
        <v>418</v>
      </c>
      <c r="G135" t="s">
        <v>419</v>
      </c>
      <c r="H135" t="s">
        <v>420</v>
      </c>
      <c r="I135">
        <v>34.78</v>
      </c>
      <c r="J135">
        <v>5.82</v>
      </c>
      <c r="K135">
        <v>7</v>
      </c>
      <c r="L135">
        <v>1</v>
      </c>
    </row>
    <row r="136" spans="1:12" x14ac:dyDescent="0.35">
      <c r="A136">
        <v>135</v>
      </c>
      <c r="B136" t="s">
        <v>12</v>
      </c>
      <c r="C136" t="s">
        <v>13</v>
      </c>
      <c r="D136" t="s">
        <v>14</v>
      </c>
      <c r="E136" t="s">
        <v>15</v>
      </c>
      <c r="F136" t="s">
        <v>421</v>
      </c>
      <c r="G136" t="s">
        <v>422</v>
      </c>
      <c r="H136" t="s">
        <v>423</v>
      </c>
      <c r="I136">
        <v>2.1</v>
      </c>
      <c r="J136">
        <v>4.9000000000000004</v>
      </c>
      <c r="K136">
        <v>2</v>
      </c>
      <c r="L136">
        <v>2</v>
      </c>
    </row>
    <row r="137" spans="1:12" x14ac:dyDescent="0.35">
      <c r="A137">
        <v>136</v>
      </c>
      <c r="B137" t="s">
        <v>12</v>
      </c>
      <c r="C137" t="s">
        <v>13</v>
      </c>
      <c r="D137" t="s">
        <v>14</v>
      </c>
      <c r="E137" t="s">
        <v>27</v>
      </c>
      <c r="F137" t="s">
        <v>424</v>
      </c>
      <c r="G137" t="s">
        <v>425</v>
      </c>
      <c r="H137" t="s">
        <v>426</v>
      </c>
      <c r="I137">
        <v>28.65</v>
      </c>
      <c r="J137">
        <v>4.34</v>
      </c>
      <c r="K137">
        <v>6</v>
      </c>
      <c r="L137">
        <v>1</v>
      </c>
    </row>
    <row r="138" spans="1:12" x14ac:dyDescent="0.35">
      <c r="A138">
        <v>137</v>
      </c>
      <c r="B138" t="s">
        <v>26</v>
      </c>
      <c r="C138" t="s">
        <v>13</v>
      </c>
      <c r="D138" t="s">
        <v>31</v>
      </c>
      <c r="E138" t="s">
        <v>72</v>
      </c>
      <c r="F138" t="s">
        <v>427</v>
      </c>
      <c r="G138" t="s">
        <v>428</v>
      </c>
      <c r="H138" t="s">
        <v>429</v>
      </c>
      <c r="I138">
        <v>2.92</v>
      </c>
      <c r="J138">
        <v>6.24</v>
      </c>
      <c r="K138">
        <v>2</v>
      </c>
      <c r="L138">
        <v>2</v>
      </c>
    </row>
    <row r="139" spans="1:12" x14ac:dyDescent="0.35">
      <c r="A139">
        <v>138</v>
      </c>
      <c r="B139" t="s">
        <v>38</v>
      </c>
      <c r="C139" t="s">
        <v>13</v>
      </c>
      <c r="D139" t="s">
        <v>14</v>
      </c>
      <c r="E139" t="s">
        <v>72</v>
      </c>
      <c r="F139" t="s">
        <v>430</v>
      </c>
      <c r="G139" t="s">
        <v>431</v>
      </c>
      <c r="H139" t="s">
        <v>432</v>
      </c>
      <c r="I139">
        <v>36.04</v>
      </c>
      <c r="J139">
        <v>7.21</v>
      </c>
      <c r="K139">
        <v>11</v>
      </c>
      <c r="L139">
        <v>2</v>
      </c>
    </row>
    <row r="140" spans="1:12" x14ac:dyDescent="0.35">
      <c r="A140">
        <v>139</v>
      </c>
      <c r="B140" t="s">
        <v>38</v>
      </c>
      <c r="C140" t="s">
        <v>13</v>
      </c>
      <c r="D140" t="s">
        <v>31</v>
      </c>
      <c r="E140" t="s">
        <v>15</v>
      </c>
      <c r="F140" t="s">
        <v>433</v>
      </c>
      <c r="G140" t="s">
        <v>434</v>
      </c>
      <c r="H140" t="s">
        <v>435</v>
      </c>
      <c r="I140">
        <v>33.49</v>
      </c>
      <c r="J140">
        <v>9.5299999999999994</v>
      </c>
      <c r="K140">
        <v>8</v>
      </c>
      <c r="L140">
        <v>2</v>
      </c>
    </row>
    <row r="141" spans="1:12" x14ac:dyDescent="0.35">
      <c r="A141">
        <v>140</v>
      </c>
      <c r="B141" t="s">
        <v>38</v>
      </c>
      <c r="C141" t="s">
        <v>13</v>
      </c>
      <c r="D141" t="s">
        <v>31</v>
      </c>
      <c r="E141" t="s">
        <v>72</v>
      </c>
      <c r="F141" t="s">
        <v>436</v>
      </c>
      <c r="G141" t="s">
        <v>437</v>
      </c>
      <c r="H141" t="s">
        <v>438</v>
      </c>
      <c r="I141">
        <v>30.52</v>
      </c>
      <c r="J141">
        <v>5.38</v>
      </c>
      <c r="K141">
        <v>4</v>
      </c>
      <c r="L141">
        <v>1</v>
      </c>
    </row>
    <row r="142" spans="1:12" x14ac:dyDescent="0.35">
      <c r="A142">
        <v>141</v>
      </c>
      <c r="B142" t="s">
        <v>26</v>
      </c>
      <c r="C142" t="s">
        <v>13</v>
      </c>
      <c r="D142" t="s">
        <v>31</v>
      </c>
      <c r="E142" t="s">
        <v>72</v>
      </c>
      <c r="F142" t="s">
        <v>439</v>
      </c>
      <c r="G142" t="s">
        <v>440</v>
      </c>
      <c r="H142" t="s">
        <v>441</v>
      </c>
      <c r="I142">
        <v>6.55</v>
      </c>
      <c r="J142">
        <v>4.75</v>
      </c>
      <c r="K142">
        <v>5</v>
      </c>
      <c r="L142">
        <v>3</v>
      </c>
    </row>
    <row r="143" spans="1:12" x14ac:dyDescent="0.35">
      <c r="A143">
        <v>142</v>
      </c>
      <c r="B143" t="s">
        <v>26</v>
      </c>
      <c r="C143" t="s">
        <v>13</v>
      </c>
      <c r="D143" t="s">
        <v>31</v>
      </c>
      <c r="E143" t="s">
        <v>72</v>
      </c>
      <c r="F143" t="s">
        <v>442</v>
      </c>
      <c r="G143" t="s">
        <v>443</v>
      </c>
      <c r="H143" t="s">
        <v>444</v>
      </c>
      <c r="I143">
        <v>23.67</v>
      </c>
      <c r="J143">
        <v>4.83</v>
      </c>
      <c r="K143">
        <v>5</v>
      </c>
      <c r="L143">
        <v>1</v>
      </c>
    </row>
    <row r="144" spans="1:12" x14ac:dyDescent="0.35">
      <c r="A144">
        <v>143</v>
      </c>
      <c r="B144" t="s">
        <v>38</v>
      </c>
      <c r="C144" t="s">
        <v>13</v>
      </c>
      <c r="D144" t="s">
        <v>31</v>
      </c>
      <c r="E144" t="s">
        <v>15</v>
      </c>
      <c r="F144" t="s">
        <v>445</v>
      </c>
      <c r="G144" t="s">
        <v>446</v>
      </c>
      <c r="H144" t="s">
        <v>209</v>
      </c>
      <c r="I144">
        <v>13.45</v>
      </c>
      <c r="J144">
        <v>8.69</v>
      </c>
      <c r="K144">
        <v>5</v>
      </c>
      <c r="L144">
        <v>3</v>
      </c>
    </row>
    <row r="145" spans="1:12" x14ac:dyDescent="0.35">
      <c r="A145">
        <v>144</v>
      </c>
      <c r="B145" t="s">
        <v>22</v>
      </c>
      <c r="C145" t="s">
        <v>13</v>
      </c>
      <c r="D145" t="s">
        <v>14</v>
      </c>
      <c r="E145" t="s">
        <v>27</v>
      </c>
      <c r="F145" t="s">
        <v>447</v>
      </c>
      <c r="G145" t="s">
        <v>448</v>
      </c>
      <c r="H145" t="s">
        <v>449</v>
      </c>
      <c r="I145">
        <v>31.35</v>
      </c>
      <c r="J145">
        <v>6.77</v>
      </c>
      <c r="K145">
        <v>5</v>
      </c>
      <c r="L145">
        <v>1</v>
      </c>
    </row>
    <row r="146" spans="1:12" x14ac:dyDescent="0.35">
      <c r="A146">
        <v>145</v>
      </c>
      <c r="B146" t="s">
        <v>22</v>
      </c>
      <c r="C146" t="s">
        <v>13</v>
      </c>
      <c r="D146" t="s">
        <v>14</v>
      </c>
      <c r="E146" t="s">
        <v>27</v>
      </c>
      <c r="F146" t="s">
        <v>450</v>
      </c>
      <c r="G146" t="s">
        <v>451</v>
      </c>
      <c r="H146" t="s">
        <v>452</v>
      </c>
      <c r="I146">
        <v>14.42</v>
      </c>
      <c r="J146">
        <v>6.21</v>
      </c>
      <c r="K146">
        <v>2</v>
      </c>
      <c r="L146">
        <v>1</v>
      </c>
    </row>
    <row r="147" spans="1:12" x14ac:dyDescent="0.35">
      <c r="A147">
        <v>146</v>
      </c>
      <c r="B147" t="s">
        <v>26</v>
      </c>
      <c r="C147" t="s">
        <v>13</v>
      </c>
      <c r="D147" t="s">
        <v>31</v>
      </c>
      <c r="E147" t="s">
        <v>15</v>
      </c>
      <c r="F147" t="s">
        <v>453</v>
      </c>
      <c r="G147" t="s">
        <v>454</v>
      </c>
      <c r="H147" t="s">
        <v>455</v>
      </c>
      <c r="I147">
        <v>25.44</v>
      </c>
      <c r="J147">
        <v>7.7</v>
      </c>
      <c r="K147">
        <v>9</v>
      </c>
      <c r="L147">
        <v>2</v>
      </c>
    </row>
    <row r="148" spans="1:12" x14ac:dyDescent="0.35">
      <c r="A148">
        <v>147</v>
      </c>
      <c r="B148" t="s">
        <v>26</v>
      </c>
      <c r="C148" t="s">
        <v>13</v>
      </c>
      <c r="D148" t="s">
        <v>14</v>
      </c>
      <c r="E148" t="s">
        <v>27</v>
      </c>
      <c r="F148" t="s">
        <v>456</v>
      </c>
      <c r="G148" t="s">
        <v>457</v>
      </c>
      <c r="H148" t="s">
        <v>458</v>
      </c>
      <c r="I148">
        <v>2.4900000000000002</v>
      </c>
      <c r="J148">
        <v>4.72</v>
      </c>
      <c r="K148">
        <v>2</v>
      </c>
      <c r="L148">
        <v>3</v>
      </c>
    </row>
    <row r="149" spans="1:12" x14ac:dyDescent="0.35">
      <c r="A149">
        <v>148</v>
      </c>
      <c r="B149" t="s">
        <v>22</v>
      </c>
      <c r="C149" t="s">
        <v>13</v>
      </c>
      <c r="D149" t="s">
        <v>14</v>
      </c>
      <c r="E149" t="s">
        <v>27</v>
      </c>
      <c r="F149" t="s">
        <v>459</v>
      </c>
      <c r="G149" t="s">
        <v>460</v>
      </c>
      <c r="H149" t="s">
        <v>461</v>
      </c>
      <c r="I149">
        <v>14.2</v>
      </c>
      <c r="J149">
        <v>6.6</v>
      </c>
      <c r="K149">
        <v>8</v>
      </c>
      <c r="L149">
        <v>3</v>
      </c>
    </row>
    <row r="150" spans="1:12" x14ac:dyDescent="0.35">
      <c r="A150">
        <v>149</v>
      </c>
      <c r="B150" t="s">
        <v>38</v>
      </c>
      <c r="C150" t="s">
        <v>13</v>
      </c>
      <c r="D150" t="s">
        <v>14</v>
      </c>
      <c r="E150" t="s">
        <v>27</v>
      </c>
      <c r="F150" t="s">
        <v>462</v>
      </c>
      <c r="G150" t="s">
        <v>463</v>
      </c>
      <c r="H150" t="s">
        <v>464</v>
      </c>
      <c r="I150">
        <v>16.510000000000002</v>
      </c>
      <c r="J150">
        <v>6.78</v>
      </c>
      <c r="K150">
        <v>6</v>
      </c>
      <c r="L150">
        <v>3</v>
      </c>
    </row>
    <row r="151" spans="1:12" x14ac:dyDescent="0.35">
      <c r="A151">
        <v>150</v>
      </c>
      <c r="B151" t="s">
        <v>26</v>
      </c>
      <c r="C151" t="s">
        <v>13</v>
      </c>
      <c r="D151" t="s">
        <v>14</v>
      </c>
      <c r="E151" t="s">
        <v>27</v>
      </c>
      <c r="F151" t="s">
        <v>465</v>
      </c>
      <c r="G151" t="s">
        <v>466</v>
      </c>
      <c r="H151" t="s">
        <v>467</v>
      </c>
      <c r="I151">
        <v>12.47</v>
      </c>
      <c r="J151">
        <v>6.25</v>
      </c>
      <c r="K151">
        <v>7</v>
      </c>
      <c r="L151">
        <v>3</v>
      </c>
    </row>
    <row r="152" spans="1:12" x14ac:dyDescent="0.35">
      <c r="A152">
        <v>151</v>
      </c>
      <c r="B152" t="s">
        <v>26</v>
      </c>
      <c r="C152" t="s">
        <v>13</v>
      </c>
      <c r="D152" t="s">
        <v>31</v>
      </c>
      <c r="E152" t="s">
        <v>27</v>
      </c>
      <c r="F152" t="s">
        <v>468</v>
      </c>
      <c r="G152" t="s">
        <v>469</v>
      </c>
      <c r="H152" t="s">
        <v>405</v>
      </c>
      <c r="I152">
        <v>20.93</v>
      </c>
      <c r="J152">
        <v>7.62</v>
      </c>
      <c r="K152">
        <v>9</v>
      </c>
      <c r="L152">
        <v>3</v>
      </c>
    </row>
    <row r="153" spans="1:12" x14ac:dyDescent="0.35">
      <c r="A153">
        <v>152</v>
      </c>
      <c r="B153" t="s">
        <v>26</v>
      </c>
      <c r="C153" t="s">
        <v>13</v>
      </c>
      <c r="D153" t="s">
        <v>14</v>
      </c>
      <c r="E153" t="s">
        <v>27</v>
      </c>
      <c r="F153" t="s">
        <v>470</v>
      </c>
      <c r="G153" t="s">
        <v>471</v>
      </c>
      <c r="H153" t="s">
        <v>472</v>
      </c>
      <c r="I153">
        <v>12.96</v>
      </c>
      <c r="J153">
        <v>6.37</v>
      </c>
      <c r="K153">
        <v>5</v>
      </c>
      <c r="L153">
        <v>2</v>
      </c>
    </row>
    <row r="154" spans="1:12" x14ac:dyDescent="0.35">
      <c r="A154">
        <v>153</v>
      </c>
      <c r="B154" t="s">
        <v>26</v>
      </c>
      <c r="C154" t="s">
        <v>13</v>
      </c>
      <c r="D154" t="s">
        <v>31</v>
      </c>
      <c r="E154" t="s">
        <v>15</v>
      </c>
      <c r="F154" t="s">
        <v>473</v>
      </c>
      <c r="G154" t="s">
        <v>474</v>
      </c>
      <c r="H154" t="s">
        <v>475</v>
      </c>
      <c r="I154">
        <v>33.68</v>
      </c>
      <c r="J154">
        <v>5.43</v>
      </c>
      <c r="K154">
        <v>6</v>
      </c>
      <c r="L154">
        <v>1</v>
      </c>
    </row>
    <row r="155" spans="1:12" x14ac:dyDescent="0.35">
      <c r="A155">
        <v>154</v>
      </c>
      <c r="B155" t="s">
        <v>38</v>
      </c>
      <c r="C155" t="s">
        <v>13</v>
      </c>
      <c r="D155" t="s">
        <v>14</v>
      </c>
      <c r="E155" t="s">
        <v>27</v>
      </c>
      <c r="F155" t="s">
        <v>476</v>
      </c>
      <c r="G155" t="s">
        <v>477</v>
      </c>
      <c r="H155" t="s">
        <v>478</v>
      </c>
      <c r="I155">
        <v>33.92</v>
      </c>
      <c r="J155">
        <v>7.17</v>
      </c>
      <c r="K155">
        <v>8</v>
      </c>
      <c r="L155">
        <v>2</v>
      </c>
    </row>
    <row r="156" spans="1:12" x14ac:dyDescent="0.35">
      <c r="A156">
        <v>155</v>
      </c>
      <c r="B156" t="s">
        <v>12</v>
      </c>
      <c r="C156" t="s">
        <v>13</v>
      </c>
      <c r="D156" t="s">
        <v>14</v>
      </c>
      <c r="E156" t="s">
        <v>27</v>
      </c>
      <c r="F156" t="s">
        <v>479</v>
      </c>
      <c r="G156" t="s">
        <v>480</v>
      </c>
      <c r="H156" t="s">
        <v>481</v>
      </c>
      <c r="I156">
        <v>14.92</v>
      </c>
      <c r="J156">
        <v>5.77</v>
      </c>
      <c r="K156">
        <v>6</v>
      </c>
      <c r="L156">
        <v>2</v>
      </c>
    </row>
    <row r="157" spans="1:12" x14ac:dyDescent="0.35">
      <c r="A157">
        <v>156</v>
      </c>
      <c r="B157" t="s">
        <v>38</v>
      </c>
      <c r="C157" t="s">
        <v>13</v>
      </c>
      <c r="D157" t="s">
        <v>31</v>
      </c>
      <c r="E157" t="s">
        <v>15</v>
      </c>
      <c r="F157" t="s">
        <v>482</v>
      </c>
      <c r="G157" t="s">
        <v>483</v>
      </c>
      <c r="H157" t="s">
        <v>484</v>
      </c>
      <c r="I157">
        <v>25.01</v>
      </c>
      <c r="J157">
        <v>9.02</v>
      </c>
      <c r="K157">
        <v>8</v>
      </c>
      <c r="L157">
        <v>3</v>
      </c>
    </row>
    <row r="158" spans="1:12" x14ac:dyDescent="0.35">
      <c r="A158">
        <v>157</v>
      </c>
      <c r="B158" t="s">
        <v>26</v>
      </c>
      <c r="C158" t="s">
        <v>13</v>
      </c>
      <c r="D158" t="s">
        <v>31</v>
      </c>
      <c r="E158" t="s">
        <v>15</v>
      </c>
      <c r="F158" t="s">
        <v>485</v>
      </c>
      <c r="G158" t="s">
        <v>486</v>
      </c>
      <c r="H158" t="s">
        <v>487</v>
      </c>
      <c r="I158">
        <v>10.76</v>
      </c>
      <c r="J158">
        <v>5.97</v>
      </c>
      <c r="K158">
        <v>2</v>
      </c>
      <c r="L158">
        <v>1</v>
      </c>
    </row>
    <row r="159" spans="1:12" x14ac:dyDescent="0.35">
      <c r="A159">
        <v>158</v>
      </c>
      <c r="B159" t="s">
        <v>12</v>
      </c>
      <c r="C159" t="s">
        <v>13</v>
      </c>
      <c r="D159" t="s">
        <v>14</v>
      </c>
      <c r="E159" t="s">
        <v>15</v>
      </c>
      <c r="F159" t="s">
        <v>488</v>
      </c>
      <c r="G159" t="s">
        <v>489</v>
      </c>
      <c r="H159" t="s">
        <v>490</v>
      </c>
      <c r="I159">
        <v>9.42</v>
      </c>
      <c r="J159">
        <v>4.37</v>
      </c>
      <c r="K159">
        <v>2</v>
      </c>
      <c r="L159">
        <v>1</v>
      </c>
    </row>
    <row r="160" spans="1:12" x14ac:dyDescent="0.35">
      <c r="A160">
        <v>159</v>
      </c>
      <c r="B160" t="s">
        <v>26</v>
      </c>
      <c r="C160" t="s">
        <v>13</v>
      </c>
      <c r="D160" t="s">
        <v>14</v>
      </c>
      <c r="E160" t="s">
        <v>15</v>
      </c>
      <c r="F160" t="s">
        <v>491</v>
      </c>
      <c r="G160" t="s">
        <v>492</v>
      </c>
      <c r="H160" t="s">
        <v>493</v>
      </c>
      <c r="I160">
        <v>9.33</v>
      </c>
      <c r="J160">
        <v>3.56</v>
      </c>
      <c r="K160">
        <v>5</v>
      </c>
      <c r="L160">
        <v>3</v>
      </c>
    </row>
    <row r="161" spans="1:12" x14ac:dyDescent="0.35">
      <c r="A161">
        <v>160</v>
      </c>
      <c r="B161" t="s">
        <v>38</v>
      </c>
      <c r="C161" t="s">
        <v>13</v>
      </c>
      <c r="D161" t="s">
        <v>14</v>
      </c>
      <c r="E161" t="s">
        <v>72</v>
      </c>
      <c r="F161" t="s">
        <v>494</v>
      </c>
      <c r="G161" t="s">
        <v>495</v>
      </c>
      <c r="H161" t="s">
        <v>496</v>
      </c>
      <c r="I161">
        <v>24.06</v>
      </c>
      <c r="J161">
        <v>7</v>
      </c>
      <c r="K161">
        <v>7</v>
      </c>
      <c r="L161">
        <v>2</v>
      </c>
    </row>
    <row r="162" spans="1:12" x14ac:dyDescent="0.35">
      <c r="A162">
        <v>161</v>
      </c>
      <c r="B162" t="s">
        <v>38</v>
      </c>
      <c r="C162" t="s">
        <v>13</v>
      </c>
      <c r="D162" t="s">
        <v>31</v>
      </c>
      <c r="E162" t="s">
        <v>27</v>
      </c>
      <c r="F162" t="s">
        <v>497</v>
      </c>
      <c r="G162" t="s">
        <v>498</v>
      </c>
      <c r="H162" t="s">
        <v>499</v>
      </c>
      <c r="I162">
        <v>51</v>
      </c>
      <c r="J162">
        <v>11.19</v>
      </c>
      <c r="K162">
        <v>10</v>
      </c>
      <c r="L162">
        <v>2</v>
      </c>
    </row>
    <row r="163" spans="1:12" x14ac:dyDescent="0.35">
      <c r="A163">
        <v>162</v>
      </c>
      <c r="B163" t="s">
        <v>22</v>
      </c>
      <c r="C163" t="s">
        <v>13</v>
      </c>
      <c r="D163" t="s">
        <v>14</v>
      </c>
      <c r="E163" t="s">
        <v>72</v>
      </c>
      <c r="F163" t="s">
        <v>500</v>
      </c>
      <c r="G163" t="s">
        <v>501</v>
      </c>
      <c r="H163" t="s">
        <v>502</v>
      </c>
      <c r="I163">
        <v>7.37</v>
      </c>
      <c r="J163">
        <v>6.13</v>
      </c>
      <c r="K163">
        <v>4</v>
      </c>
      <c r="L163">
        <v>2</v>
      </c>
    </row>
    <row r="164" spans="1:12" x14ac:dyDescent="0.35">
      <c r="A164">
        <v>163</v>
      </c>
      <c r="B164" t="s">
        <v>22</v>
      </c>
      <c r="C164" t="s">
        <v>13</v>
      </c>
      <c r="D164" t="s">
        <v>31</v>
      </c>
      <c r="E164" t="s">
        <v>15</v>
      </c>
      <c r="F164" t="s">
        <v>503</v>
      </c>
      <c r="G164" t="s">
        <v>504</v>
      </c>
      <c r="H164" t="s">
        <v>505</v>
      </c>
      <c r="I164">
        <v>12.9</v>
      </c>
      <c r="J164">
        <v>6.63</v>
      </c>
      <c r="K164">
        <v>6</v>
      </c>
      <c r="L164">
        <v>3</v>
      </c>
    </row>
    <row r="165" spans="1:12" x14ac:dyDescent="0.35">
      <c r="A165">
        <v>164</v>
      </c>
      <c r="B165" t="s">
        <v>38</v>
      </c>
      <c r="C165" t="s">
        <v>13</v>
      </c>
      <c r="D165" t="s">
        <v>31</v>
      </c>
      <c r="E165" t="s">
        <v>27</v>
      </c>
      <c r="F165" t="s">
        <v>506</v>
      </c>
      <c r="G165" t="s">
        <v>507</v>
      </c>
      <c r="H165" t="s">
        <v>508</v>
      </c>
      <c r="I165">
        <v>55.4</v>
      </c>
      <c r="J165">
        <v>11.1</v>
      </c>
      <c r="K165">
        <v>11</v>
      </c>
      <c r="L165">
        <v>2</v>
      </c>
    </row>
    <row r="166" spans="1:12" x14ac:dyDescent="0.35">
      <c r="A166">
        <v>165</v>
      </c>
      <c r="B166" t="s">
        <v>38</v>
      </c>
      <c r="C166" t="s">
        <v>13</v>
      </c>
      <c r="D166" t="s">
        <v>14</v>
      </c>
      <c r="E166" t="s">
        <v>72</v>
      </c>
      <c r="F166" t="s">
        <v>509</v>
      </c>
      <c r="G166" t="s">
        <v>510</v>
      </c>
      <c r="H166" t="s">
        <v>511</v>
      </c>
      <c r="I166">
        <v>27.61</v>
      </c>
      <c r="J166">
        <v>5.0599999999999996</v>
      </c>
      <c r="K166">
        <v>9</v>
      </c>
      <c r="L166">
        <v>2</v>
      </c>
    </row>
    <row r="167" spans="1:12" x14ac:dyDescent="0.35">
      <c r="A167">
        <v>166</v>
      </c>
      <c r="B167" t="s">
        <v>26</v>
      </c>
      <c r="C167" t="s">
        <v>13</v>
      </c>
      <c r="D167" t="s">
        <v>31</v>
      </c>
      <c r="E167" t="s">
        <v>27</v>
      </c>
      <c r="F167" t="s">
        <v>512</v>
      </c>
      <c r="G167" t="s">
        <v>513</v>
      </c>
      <c r="H167" t="s">
        <v>514</v>
      </c>
      <c r="I167">
        <v>18.97</v>
      </c>
      <c r="J167">
        <v>5.54</v>
      </c>
      <c r="K167">
        <v>6</v>
      </c>
      <c r="L167">
        <v>2</v>
      </c>
    </row>
    <row r="168" spans="1:12" x14ac:dyDescent="0.35">
      <c r="A168">
        <v>167</v>
      </c>
      <c r="B168" t="s">
        <v>12</v>
      </c>
      <c r="C168" t="s">
        <v>13</v>
      </c>
      <c r="D168" t="s">
        <v>14</v>
      </c>
      <c r="E168" t="s">
        <v>27</v>
      </c>
      <c r="F168" t="s">
        <v>515</v>
      </c>
      <c r="G168" t="s">
        <v>516</v>
      </c>
      <c r="H168" t="s">
        <v>517</v>
      </c>
      <c r="I168">
        <v>8.8800000000000008</v>
      </c>
      <c r="J168">
        <v>3.02</v>
      </c>
      <c r="K168">
        <v>7</v>
      </c>
      <c r="L168">
        <v>3</v>
      </c>
    </row>
    <row r="169" spans="1:12" x14ac:dyDescent="0.35">
      <c r="A169">
        <v>168</v>
      </c>
      <c r="B169" t="s">
        <v>38</v>
      </c>
      <c r="C169" t="s">
        <v>13</v>
      </c>
      <c r="D169" t="s">
        <v>14</v>
      </c>
      <c r="E169" t="s">
        <v>15</v>
      </c>
      <c r="F169" t="s">
        <v>518</v>
      </c>
      <c r="G169" t="s">
        <v>519</v>
      </c>
      <c r="H169" t="s">
        <v>520</v>
      </c>
      <c r="I169">
        <v>22.05</v>
      </c>
      <c r="J169">
        <v>7.87</v>
      </c>
      <c r="K169">
        <v>9</v>
      </c>
      <c r="L169">
        <v>3</v>
      </c>
    </row>
    <row r="170" spans="1:12" x14ac:dyDescent="0.35">
      <c r="A170">
        <v>169</v>
      </c>
      <c r="B170" t="s">
        <v>12</v>
      </c>
      <c r="C170" t="s">
        <v>13</v>
      </c>
      <c r="D170" t="s">
        <v>31</v>
      </c>
      <c r="E170" t="s">
        <v>27</v>
      </c>
      <c r="F170" t="s">
        <v>521</v>
      </c>
      <c r="G170" t="s">
        <v>522</v>
      </c>
      <c r="H170" t="s">
        <v>523</v>
      </c>
      <c r="I170">
        <v>8.3800000000000008</v>
      </c>
      <c r="J170">
        <v>5.36</v>
      </c>
      <c r="K170">
        <v>4</v>
      </c>
      <c r="L170">
        <v>2</v>
      </c>
    </row>
    <row r="171" spans="1:12" x14ac:dyDescent="0.35">
      <c r="A171">
        <v>170</v>
      </c>
      <c r="B171" t="s">
        <v>22</v>
      </c>
      <c r="C171" t="s">
        <v>13</v>
      </c>
      <c r="D171" t="s">
        <v>14</v>
      </c>
      <c r="E171" t="s">
        <v>15</v>
      </c>
      <c r="F171" t="s">
        <v>524</v>
      </c>
      <c r="G171" t="s">
        <v>525</v>
      </c>
      <c r="H171" t="s">
        <v>526</v>
      </c>
      <c r="I171">
        <v>9.4499999999999993</v>
      </c>
      <c r="J171">
        <v>3.59</v>
      </c>
      <c r="K171">
        <v>6</v>
      </c>
      <c r="L171">
        <v>3</v>
      </c>
    </row>
    <row r="172" spans="1:12" x14ac:dyDescent="0.35">
      <c r="A172">
        <v>171</v>
      </c>
      <c r="B172" t="s">
        <v>22</v>
      </c>
      <c r="C172" t="s">
        <v>13</v>
      </c>
      <c r="D172" t="s">
        <v>14</v>
      </c>
      <c r="E172" t="s">
        <v>15</v>
      </c>
      <c r="F172" t="s">
        <v>527</v>
      </c>
      <c r="G172" t="s">
        <v>528</v>
      </c>
      <c r="H172" t="s">
        <v>529</v>
      </c>
      <c r="I172">
        <v>10.53</v>
      </c>
      <c r="J172">
        <v>5.4</v>
      </c>
      <c r="K172">
        <v>3</v>
      </c>
      <c r="L172">
        <v>2</v>
      </c>
    </row>
    <row r="173" spans="1:12" x14ac:dyDescent="0.35">
      <c r="A173">
        <v>172</v>
      </c>
      <c r="B173" t="s">
        <v>12</v>
      </c>
      <c r="C173" t="s">
        <v>13</v>
      </c>
      <c r="D173" t="s">
        <v>31</v>
      </c>
      <c r="E173" t="s">
        <v>15</v>
      </c>
      <c r="F173" t="s">
        <v>530</v>
      </c>
      <c r="G173" t="s">
        <v>531</v>
      </c>
      <c r="H173" t="s">
        <v>532</v>
      </c>
      <c r="I173">
        <v>10</v>
      </c>
      <c r="J173">
        <v>6.19</v>
      </c>
      <c r="K173">
        <v>4</v>
      </c>
      <c r="L173">
        <v>2</v>
      </c>
    </row>
    <row r="174" spans="1:12" x14ac:dyDescent="0.35">
      <c r="A174">
        <v>173</v>
      </c>
      <c r="B174" t="s">
        <v>38</v>
      </c>
      <c r="C174" t="s">
        <v>13</v>
      </c>
      <c r="D174" t="s">
        <v>31</v>
      </c>
      <c r="E174" t="s">
        <v>72</v>
      </c>
      <c r="F174" t="s">
        <v>533</v>
      </c>
      <c r="G174" t="s">
        <v>534</v>
      </c>
      <c r="H174" t="s">
        <v>521</v>
      </c>
      <c r="I174">
        <v>22.52</v>
      </c>
      <c r="J174">
        <v>7.5</v>
      </c>
      <c r="K174">
        <v>8</v>
      </c>
      <c r="L174">
        <v>3</v>
      </c>
    </row>
    <row r="175" spans="1:12" x14ac:dyDescent="0.35">
      <c r="A175">
        <v>174</v>
      </c>
      <c r="B175" t="s">
        <v>38</v>
      </c>
      <c r="C175" t="s">
        <v>13</v>
      </c>
      <c r="D175" t="s">
        <v>31</v>
      </c>
      <c r="E175" t="s">
        <v>72</v>
      </c>
      <c r="F175" t="s">
        <v>535</v>
      </c>
      <c r="G175" t="s">
        <v>536</v>
      </c>
      <c r="H175" t="s">
        <v>537</v>
      </c>
      <c r="I175">
        <v>29.95</v>
      </c>
      <c r="J175">
        <v>9.9499999999999993</v>
      </c>
      <c r="K175">
        <v>8</v>
      </c>
      <c r="L175">
        <v>2</v>
      </c>
    </row>
    <row r="176" spans="1:12" x14ac:dyDescent="0.35">
      <c r="A176">
        <v>175</v>
      </c>
      <c r="B176" t="s">
        <v>38</v>
      </c>
      <c r="C176" t="s">
        <v>13</v>
      </c>
      <c r="D176" t="s">
        <v>31</v>
      </c>
      <c r="E176" t="s">
        <v>72</v>
      </c>
      <c r="F176" t="s">
        <v>538</v>
      </c>
      <c r="G176" t="s">
        <v>539</v>
      </c>
      <c r="H176" t="s">
        <v>540</v>
      </c>
      <c r="I176">
        <v>48.64</v>
      </c>
      <c r="J176">
        <v>9.42</v>
      </c>
      <c r="K176">
        <v>6</v>
      </c>
      <c r="L176">
        <v>1</v>
      </c>
    </row>
    <row r="177" spans="1:12" x14ac:dyDescent="0.35">
      <c r="A177">
        <v>176</v>
      </c>
      <c r="B177" t="s">
        <v>26</v>
      </c>
      <c r="C177" t="s">
        <v>13</v>
      </c>
      <c r="D177" t="s">
        <v>31</v>
      </c>
      <c r="E177" t="s">
        <v>72</v>
      </c>
      <c r="F177" t="s">
        <v>541</v>
      </c>
      <c r="G177" t="s">
        <v>542</v>
      </c>
      <c r="H177" t="s">
        <v>543</v>
      </c>
      <c r="I177">
        <v>8.39</v>
      </c>
      <c r="J177">
        <v>6.44</v>
      </c>
      <c r="K177">
        <v>6</v>
      </c>
      <c r="L177">
        <v>3</v>
      </c>
    </row>
    <row r="178" spans="1:12" x14ac:dyDescent="0.35">
      <c r="A178">
        <v>177</v>
      </c>
      <c r="B178" t="s">
        <v>12</v>
      </c>
      <c r="C178" t="s">
        <v>13</v>
      </c>
      <c r="D178" t="s">
        <v>31</v>
      </c>
      <c r="E178" t="s">
        <v>27</v>
      </c>
      <c r="F178" t="s">
        <v>544</v>
      </c>
      <c r="G178" t="s">
        <v>545</v>
      </c>
      <c r="H178" t="s">
        <v>546</v>
      </c>
      <c r="I178">
        <v>9.9499999999999993</v>
      </c>
      <c r="J178">
        <v>7.09</v>
      </c>
      <c r="K178">
        <v>5</v>
      </c>
      <c r="L178">
        <v>3</v>
      </c>
    </row>
    <row r="179" spans="1:12" x14ac:dyDescent="0.35">
      <c r="A179">
        <v>178</v>
      </c>
      <c r="B179" t="s">
        <v>38</v>
      </c>
      <c r="C179" t="s">
        <v>13</v>
      </c>
      <c r="D179" t="s">
        <v>14</v>
      </c>
      <c r="E179" t="s">
        <v>15</v>
      </c>
      <c r="F179" t="s">
        <v>547</v>
      </c>
      <c r="G179" t="s">
        <v>548</v>
      </c>
      <c r="H179" t="s">
        <v>549</v>
      </c>
      <c r="I179">
        <v>8.32</v>
      </c>
      <c r="J179">
        <v>6.76</v>
      </c>
      <c r="K179">
        <v>4</v>
      </c>
      <c r="L179">
        <v>3</v>
      </c>
    </row>
    <row r="180" spans="1:12" x14ac:dyDescent="0.35">
      <c r="A180">
        <v>179</v>
      </c>
      <c r="B180" t="s">
        <v>38</v>
      </c>
      <c r="C180" t="s">
        <v>13</v>
      </c>
      <c r="D180" t="s">
        <v>14</v>
      </c>
      <c r="E180" t="s">
        <v>15</v>
      </c>
      <c r="F180" t="s">
        <v>550</v>
      </c>
      <c r="G180" t="s">
        <v>551</v>
      </c>
      <c r="H180" t="s">
        <v>552</v>
      </c>
      <c r="I180">
        <v>20.23</v>
      </c>
      <c r="J180">
        <v>7.58</v>
      </c>
      <c r="K180">
        <v>5</v>
      </c>
      <c r="L180">
        <v>2</v>
      </c>
    </row>
    <row r="181" spans="1:12" x14ac:dyDescent="0.35">
      <c r="A181">
        <v>180</v>
      </c>
      <c r="B181" t="s">
        <v>38</v>
      </c>
      <c r="C181" t="s">
        <v>13</v>
      </c>
      <c r="D181" t="s">
        <v>31</v>
      </c>
      <c r="E181" t="s">
        <v>72</v>
      </c>
      <c r="F181" t="s">
        <v>553</v>
      </c>
      <c r="G181" t="s">
        <v>554</v>
      </c>
      <c r="H181" t="s">
        <v>555</v>
      </c>
      <c r="I181">
        <v>39.840000000000003</v>
      </c>
      <c r="J181">
        <v>7.88</v>
      </c>
      <c r="K181">
        <v>10</v>
      </c>
      <c r="L181">
        <v>2</v>
      </c>
    </row>
    <row r="182" spans="1:12" x14ac:dyDescent="0.35">
      <c r="A182">
        <v>181</v>
      </c>
      <c r="B182" t="s">
        <v>26</v>
      </c>
      <c r="C182" t="s">
        <v>13</v>
      </c>
      <c r="D182" t="s">
        <v>14</v>
      </c>
      <c r="E182" t="s">
        <v>72</v>
      </c>
      <c r="F182" t="s">
        <v>556</v>
      </c>
      <c r="G182" t="s">
        <v>557</v>
      </c>
      <c r="H182" t="s">
        <v>558</v>
      </c>
      <c r="I182">
        <v>11.83</v>
      </c>
      <c r="J182">
        <v>3.1</v>
      </c>
      <c r="K182">
        <v>3</v>
      </c>
      <c r="L182">
        <v>1</v>
      </c>
    </row>
    <row r="183" spans="1:12" x14ac:dyDescent="0.35">
      <c r="A183">
        <v>182</v>
      </c>
      <c r="B183" t="s">
        <v>26</v>
      </c>
      <c r="C183" t="s">
        <v>13</v>
      </c>
      <c r="D183" t="s">
        <v>31</v>
      </c>
      <c r="E183" t="s">
        <v>27</v>
      </c>
      <c r="F183" t="s">
        <v>559</v>
      </c>
      <c r="G183" t="s">
        <v>560</v>
      </c>
      <c r="H183" t="s">
        <v>561</v>
      </c>
      <c r="I183">
        <v>16.38</v>
      </c>
      <c r="J183">
        <v>6.38</v>
      </c>
      <c r="K183">
        <v>7</v>
      </c>
      <c r="L183">
        <v>3</v>
      </c>
    </row>
    <row r="184" spans="1:12" x14ac:dyDescent="0.35">
      <c r="A184">
        <v>183</v>
      </c>
      <c r="B184" t="s">
        <v>22</v>
      </c>
      <c r="C184" t="s">
        <v>13</v>
      </c>
      <c r="D184" t="s">
        <v>31</v>
      </c>
      <c r="E184" t="s">
        <v>15</v>
      </c>
      <c r="F184" t="s">
        <v>562</v>
      </c>
      <c r="G184" t="s">
        <v>563</v>
      </c>
      <c r="H184" t="s">
        <v>564</v>
      </c>
      <c r="I184">
        <v>10.81</v>
      </c>
      <c r="J184">
        <v>5.32</v>
      </c>
      <c r="K184">
        <v>6</v>
      </c>
      <c r="L184">
        <v>3</v>
      </c>
    </row>
    <row r="185" spans="1:12" x14ac:dyDescent="0.35">
      <c r="A185">
        <v>184</v>
      </c>
      <c r="B185" t="s">
        <v>26</v>
      </c>
      <c r="C185" t="s">
        <v>13</v>
      </c>
      <c r="D185" t="s">
        <v>31</v>
      </c>
      <c r="E185" t="s">
        <v>72</v>
      </c>
      <c r="F185" t="s">
        <v>565</v>
      </c>
      <c r="G185" t="s">
        <v>566</v>
      </c>
      <c r="H185" t="s">
        <v>567</v>
      </c>
      <c r="I185">
        <v>7.94</v>
      </c>
      <c r="J185">
        <v>2.65</v>
      </c>
      <c r="K185">
        <v>4</v>
      </c>
      <c r="L185">
        <v>2</v>
      </c>
    </row>
    <row r="186" spans="1:12" x14ac:dyDescent="0.35">
      <c r="A186">
        <v>185</v>
      </c>
      <c r="B186" t="s">
        <v>22</v>
      </c>
      <c r="C186" t="s">
        <v>13</v>
      </c>
      <c r="D186" t="s">
        <v>31</v>
      </c>
      <c r="E186" t="s">
        <v>72</v>
      </c>
      <c r="F186" t="s">
        <v>568</v>
      </c>
      <c r="G186" t="s">
        <v>569</v>
      </c>
      <c r="H186" t="s">
        <v>570</v>
      </c>
      <c r="I186">
        <v>13.74</v>
      </c>
      <c r="J186">
        <v>6.57</v>
      </c>
      <c r="K186">
        <v>8</v>
      </c>
      <c r="L186">
        <v>3</v>
      </c>
    </row>
    <row r="187" spans="1:12" x14ac:dyDescent="0.35">
      <c r="A187">
        <v>186</v>
      </c>
      <c r="B187" t="s">
        <v>38</v>
      </c>
      <c r="C187" t="s">
        <v>13</v>
      </c>
      <c r="D187" t="s">
        <v>14</v>
      </c>
      <c r="E187" t="s">
        <v>27</v>
      </c>
      <c r="F187" t="s">
        <v>571</v>
      </c>
      <c r="G187" t="s">
        <v>572</v>
      </c>
      <c r="H187" t="s">
        <v>573</v>
      </c>
      <c r="I187">
        <v>38.1</v>
      </c>
      <c r="J187">
        <v>8.6199999999999992</v>
      </c>
      <c r="K187">
        <v>9</v>
      </c>
      <c r="L187">
        <v>2</v>
      </c>
    </row>
    <row r="188" spans="1:12" x14ac:dyDescent="0.35">
      <c r="A188">
        <v>187</v>
      </c>
      <c r="B188" t="s">
        <v>12</v>
      </c>
      <c r="C188" t="s">
        <v>13</v>
      </c>
      <c r="D188" t="s">
        <v>14</v>
      </c>
      <c r="E188" t="s">
        <v>15</v>
      </c>
      <c r="F188" t="s">
        <v>574</v>
      </c>
      <c r="G188" t="s">
        <v>575</v>
      </c>
      <c r="H188" t="s">
        <v>576</v>
      </c>
      <c r="I188">
        <v>10.3</v>
      </c>
      <c r="J188">
        <v>4.09</v>
      </c>
      <c r="K188">
        <v>7</v>
      </c>
      <c r="L188">
        <v>2</v>
      </c>
    </row>
    <row r="189" spans="1:12" x14ac:dyDescent="0.35">
      <c r="A189">
        <v>188</v>
      </c>
      <c r="B189" t="s">
        <v>22</v>
      </c>
      <c r="C189" t="s">
        <v>13</v>
      </c>
      <c r="D189" t="s">
        <v>14</v>
      </c>
      <c r="E189" t="s">
        <v>15</v>
      </c>
      <c r="F189" t="s">
        <v>577</v>
      </c>
      <c r="G189" t="s">
        <v>578</v>
      </c>
      <c r="H189" t="s">
        <v>579</v>
      </c>
      <c r="I189">
        <v>3.53</v>
      </c>
      <c r="J189">
        <v>5.7</v>
      </c>
      <c r="K189">
        <v>2</v>
      </c>
      <c r="L189">
        <v>3</v>
      </c>
    </row>
    <row r="190" spans="1:12" x14ac:dyDescent="0.35">
      <c r="A190">
        <v>189</v>
      </c>
      <c r="B190" t="s">
        <v>22</v>
      </c>
      <c r="C190" t="s">
        <v>13</v>
      </c>
      <c r="D190" t="s">
        <v>14</v>
      </c>
      <c r="E190" t="s">
        <v>72</v>
      </c>
      <c r="F190" t="s">
        <v>580</v>
      </c>
      <c r="G190" t="s">
        <v>581</v>
      </c>
      <c r="H190" t="s">
        <v>582</v>
      </c>
      <c r="I190">
        <v>5.69</v>
      </c>
      <c r="J190">
        <v>5.0999999999999996</v>
      </c>
      <c r="K190">
        <v>5</v>
      </c>
      <c r="L190">
        <v>3</v>
      </c>
    </row>
    <row r="191" spans="1:12" x14ac:dyDescent="0.35">
      <c r="A191">
        <v>190</v>
      </c>
      <c r="B191" t="s">
        <v>12</v>
      </c>
      <c r="C191" t="s">
        <v>13</v>
      </c>
      <c r="D191" t="s">
        <v>31</v>
      </c>
      <c r="E191" t="s">
        <v>72</v>
      </c>
      <c r="F191" t="s">
        <v>583</v>
      </c>
      <c r="G191" t="s">
        <v>584</v>
      </c>
      <c r="H191" t="s">
        <v>585</v>
      </c>
      <c r="I191">
        <v>12.28</v>
      </c>
      <c r="J191">
        <v>5.69</v>
      </c>
      <c r="K191">
        <v>3</v>
      </c>
      <c r="L191">
        <v>1</v>
      </c>
    </row>
    <row r="192" spans="1:12" x14ac:dyDescent="0.35">
      <c r="A192">
        <v>191</v>
      </c>
      <c r="B192" t="s">
        <v>12</v>
      </c>
      <c r="C192" t="s">
        <v>13</v>
      </c>
      <c r="D192" t="s">
        <v>14</v>
      </c>
      <c r="E192" t="s">
        <v>72</v>
      </c>
      <c r="F192" t="s">
        <v>586</v>
      </c>
      <c r="G192" t="s">
        <v>587</v>
      </c>
      <c r="H192" t="s">
        <v>588</v>
      </c>
      <c r="I192">
        <v>6.15</v>
      </c>
      <c r="J192">
        <v>3.09</v>
      </c>
      <c r="K192">
        <v>2</v>
      </c>
      <c r="L192">
        <v>1</v>
      </c>
    </row>
    <row r="193" spans="1:12" x14ac:dyDescent="0.35">
      <c r="A193">
        <v>192</v>
      </c>
      <c r="B193" t="s">
        <v>38</v>
      </c>
      <c r="C193" t="s">
        <v>13</v>
      </c>
      <c r="D193" t="s">
        <v>14</v>
      </c>
      <c r="E193" t="s">
        <v>72</v>
      </c>
      <c r="F193" t="s">
        <v>589</v>
      </c>
      <c r="G193" t="s">
        <v>590</v>
      </c>
      <c r="H193" t="s">
        <v>591</v>
      </c>
      <c r="I193">
        <v>8.91</v>
      </c>
      <c r="J193">
        <v>6.5</v>
      </c>
      <c r="K193">
        <v>4</v>
      </c>
      <c r="L193">
        <v>3</v>
      </c>
    </row>
    <row r="194" spans="1:12" x14ac:dyDescent="0.35">
      <c r="A194">
        <v>193</v>
      </c>
      <c r="B194" t="s">
        <v>26</v>
      </c>
      <c r="C194" t="s">
        <v>13</v>
      </c>
      <c r="D194" t="s">
        <v>14</v>
      </c>
      <c r="E194" t="s">
        <v>15</v>
      </c>
      <c r="F194" t="s">
        <v>592</v>
      </c>
      <c r="G194" t="s">
        <v>593</v>
      </c>
      <c r="H194" t="s">
        <v>594</v>
      </c>
      <c r="I194">
        <v>13.61</v>
      </c>
      <c r="J194">
        <v>5.59</v>
      </c>
      <c r="K194">
        <v>6</v>
      </c>
      <c r="L194">
        <v>2</v>
      </c>
    </row>
    <row r="195" spans="1:12" x14ac:dyDescent="0.35">
      <c r="A195">
        <v>194</v>
      </c>
      <c r="B195" t="s">
        <v>12</v>
      </c>
      <c r="C195" t="s">
        <v>13</v>
      </c>
      <c r="D195" t="s">
        <v>31</v>
      </c>
      <c r="E195" t="s">
        <v>15</v>
      </c>
      <c r="F195" t="s">
        <v>595</v>
      </c>
      <c r="G195" t="s">
        <v>596</v>
      </c>
      <c r="H195" t="s">
        <v>597</v>
      </c>
      <c r="I195">
        <v>8.8000000000000007</v>
      </c>
      <c r="J195">
        <v>2.2400000000000002</v>
      </c>
      <c r="K195">
        <v>6</v>
      </c>
      <c r="L195">
        <v>3</v>
      </c>
    </row>
    <row r="196" spans="1:12" x14ac:dyDescent="0.35">
      <c r="A196">
        <v>195</v>
      </c>
      <c r="B196" t="s">
        <v>38</v>
      </c>
      <c r="C196" t="s">
        <v>13</v>
      </c>
      <c r="D196" t="s">
        <v>31</v>
      </c>
      <c r="E196" t="s">
        <v>15</v>
      </c>
      <c r="F196" t="s">
        <v>598</v>
      </c>
      <c r="G196" t="s">
        <v>599</v>
      </c>
      <c r="H196" t="s">
        <v>600</v>
      </c>
      <c r="I196">
        <v>22.4</v>
      </c>
      <c r="J196">
        <v>9.5500000000000007</v>
      </c>
      <c r="K196">
        <v>5</v>
      </c>
      <c r="L196">
        <v>2</v>
      </c>
    </row>
    <row r="197" spans="1:12" x14ac:dyDescent="0.35">
      <c r="A197">
        <v>196</v>
      </c>
      <c r="B197" t="s">
        <v>26</v>
      </c>
      <c r="C197" t="s">
        <v>13</v>
      </c>
      <c r="D197" t="s">
        <v>14</v>
      </c>
      <c r="E197" t="s">
        <v>27</v>
      </c>
      <c r="F197" t="s">
        <v>601</v>
      </c>
      <c r="G197" t="s">
        <v>602</v>
      </c>
      <c r="H197" t="s">
        <v>603</v>
      </c>
      <c r="I197">
        <v>19.010000000000002</v>
      </c>
      <c r="J197">
        <v>5.16</v>
      </c>
      <c r="K197">
        <v>4</v>
      </c>
      <c r="L197">
        <v>1</v>
      </c>
    </row>
    <row r="198" spans="1:12" x14ac:dyDescent="0.35">
      <c r="A198">
        <v>197</v>
      </c>
      <c r="B198" t="s">
        <v>38</v>
      </c>
      <c r="C198" t="s">
        <v>13</v>
      </c>
      <c r="D198" t="s">
        <v>14</v>
      </c>
      <c r="E198" t="s">
        <v>72</v>
      </c>
      <c r="F198" t="s">
        <v>604</v>
      </c>
      <c r="G198" t="s">
        <v>605</v>
      </c>
      <c r="H198" t="s">
        <v>606</v>
      </c>
      <c r="I198">
        <v>20.76</v>
      </c>
      <c r="J198">
        <v>8.33</v>
      </c>
      <c r="K198">
        <v>10</v>
      </c>
      <c r="L198">
        <v>3</v>
      </c>
    </row>
    <row r="199" spans="1:12" x14ac:dyDescent="0.35">
      <c r="A199">
        <v>198</v>
      </c>
      <c r="B199" t="s">
        <v>38</v>
      </c>
      <c r="C199" t="s">
        <v>13</v>
      </c>
      <c r="D199" t="s">
        <v>31</v>
      </c>
      <c r="E199" t="s">
        <v>15</v>
      </c>
      <c r="F199" t="s">
        <v>607</v>
      </c>
      <c r="G199" t="s">
        <v>608</v>
      </c>
      <c r="H199" t="s">
        <v>609</v>
      </c>
      <c r="I199">
        <v>28.11</v>
      </c>
      <c r="J199">
        <v>9.0299999999999994</v>
      </c>
      <c r="K199">
        <v>10</v>
      </c>
      <c r="L199">
        <v>3</v>
      </c>
    </row>
    <row r="200" spans="1:12" x14ac:dyDescent="0.35">
      <c r="A200">
        <v>199</v>
      </c>
      <c r="B200" t="s">
        <v>26</v>
      </c>
      <c r="C200" t="s">
        <v>13</v>
      </c>
      <c r="D200" t="s">
        <v>14</v>
      </c>
      <c r="E200" t="s">
        <v>15</v>
      </c>
      <c r="F200" t="s">
        <v>610</v>
      </c>
      <c r="G200" t="s">
        <v>611</v>
      </c>
      <c r="H200" t="s">
        <v>612</v>
      </c>
      <c r="I200">
        <v>5.59</v>
      </c>
      <c r="J200">
        <v>4.78</v>
      </c>
      <c r="K200">
        <v>4</v>
      </c>
      <c r="L200">
        <v>3</v>
      </c>
    </row>
    <row r="201" spans="1:12" x14ac:dyDescent="0.35">
      <c r="A201">
        <v>200</v>
      </c>
      <c r="B201" t="s">
        <v>22</v>
      </c>
      <c r="C201" t="s">
        <v>13</v>
      </c>
      <c r="D201" t="s">
        <v>31</v>
      </c>
      <c r="E201" t="s">
        <v>27</v>
      </c>
      <c r="F201" t="s">
        <v>613</v>
      </c>
      <c r="G201" t="s">
        <v>614</v>
      </c>
      <c r="H201" t="s">
        <v>615</v>
      </c>
      <c r="I201">
        <v>1.49</v>
      </c>
      <c r="J201">
        <v>6.05</v>
      </c>
      <c r="K201">
        <v>1</v>
      </c>
      <c r="L201">
        <v>2</v>
      </c>
    </row>
    <row r="202" spans="1:12" x14ac:dyDescent="0.35">
      <c r="A202">
        <v>201</v>
      </c>
      <c r="B202" t="s">
        <v>26</v>
      </c>
      <c r="C202" t="s">
        <v>13</v>
      </c>
      <c r="D202" t="s">
        <v>31</v>
      </c>
      <c r="E202" t="s">
        <v>15</v>
      </c>
      <c r="F202" t="s">
        <v>616</v>
      </c>
      <c r="G202" t="s">
        <v>617</v>
      </c>
      <c r="H202" t="s">
        <v>618</v>
      </c>
      <c r="I202">
        <v>15.58</v>
      </c>
      <c r="J202">
        <v>6.24</v>
      </c>
      <c r="K202">
        <v>5</v>
      </c>
      <c r="L202">
        <v>2</v>
      </c>
    </row>
    <row r="203" spans="1:12" x14ac:dyDescent="0.35">
      <c r="A203">
        <v>202</v>
      </c>
      <c r="B203" t="s">
        <v>38</v>
      </c>
      <c r="C203" t="s">
        <v>13</v>
      </c>
      <c r="D203" t="s">
        <v>31</v>
      </c>
      <c r="E203" t="s">
        <v>72</v>
      </c>
      <c r="F203" t="s">
        <v>619</v>
      </c>
      <c r="G203" t="s">
        <v>620</v>
      </c>
      <c r="H203" t="s">
        <v>621</v>
      </c>
      <c r="I203">
        <v>32.11</v>
      </c>
      <c r="J203">
        <v>9.11</v>
      </c>
      <c r="K203">
        <v>4</v>
      </c>
      <c r="L203">
        <v>1</v>
      </c>
    </row>
    <row r="204" spans="1:12" x14ac:dyDescent="0.35">
      <c r="A204">
        <v>203</v>
      </c>
      <c r="B204" t="s">
        <v>12</v>
      </c>
      <c r="C204" t="s">
        <v>13</v>
      </c>
      <c r="D204" t="s">
        <v>31</v>
      </c>
      <c r="E204" t="s">
        <v>72</v>
      </c>
      <c r="F204" t="s">
        <v>622</v>
      </c>
      <c r="G204" t="s">
        <v>623</v>
      </c>
      <c r="H204" t="s">
        <v>624</v>
      </c>
      <c r="I204">
        <v>4.79</v>
      </c>
      <c r="J204">
        <v>4.76</v>
      </c>
      <c r="K204">
        <v>2</v>
      </c>
      <c r="L204">
        <v>3</v>
      </c>
    </row>
    <row r="205" spans="1:12" x14ac:dyDescent="0.35">
      <c r="A205">
        <v>204</v>
      </c>
      <c r="B205" t="s">
        <v>12</v>
      </c>
      <c r="C205" t="s">
        <v>13</v>
      </c>
      <c r="D205" t="s">
        <v>31</v>
      </c>
      <c r="E205" t="s">
        <v>15</v>
      </c>
      <c r="F205" t="s">
        <v>625</v>
      </c>
      <c r="G205" t="s">
        <v>245</v>
      </c>
      <c r="H205" t="s">
        <v>626</v>
      </c>
      <c r="I205">
        <v>8.14</v>
      </c>
      <c r="J205">
        <v>5.0999999999999996</v>
      </c>
      <c r="K205">
        <v>5</v>
      </c>
      <c r="L205">
        <v>3</v>
      </c>
    </row>
    <row r="206" spans="1:12" x14ac:dyDescent="0.35">
      <c r="A206">
        <v>205</v>
      </c>
      <c r="B206" t="s">
        <v>26</v>
      </c>
      <c r="C206" t="s">
        <v>13</v>
      </c>
      <c r="D206" t="s">
        <v>14</v>
      </c>
      <c r="E206" t="s">
        <v>27</v>
      </c>
      <c r="F206" t="s">
        <v>627</v>
      </c>
      <c r="G206" t="s">
        <v>628</v>
      </c>
      <c r="H206" t="s">
        <v>629</v>
      </c>
      <c r="I206">
        <v>10.57</v>
      </c>
      <c r="J206">
        <v>3.23</v>
      </c>
      <c r="K206">
        <v>7</v>
      </c>
      <c r="L206">
        <v>3</v>
      </c>
    </row>
    <row r="207" spans="1:12" x14ac:dyDescent="0.35">
      <c r="A207">
        <v>206</v>
      </c>
      <c r="B207" t="s">
        <v>22</v>
      </c>
      <c r="C207" t="s">
        <v>13</v>
      </c>
      <c r="D207" t="s">
        <v>14</v>
      </c>
      <c r="E207" t="s">
        <v>15</v>
      </c>
      <c r="F207" t="s">
        <v>630</v>
      </c>
      <c r="G207" t="s">
        <v>631</v>
      </c>
      <c r="H207" t="s">
        <v>632</v>
      </c>
      <c r="I207">
        <v>26.34</v>
      </c>
      <c r="J207">
        <v>5.99</v>
      </c>
      <c r="K207">
        <v>5</v>
      </c>
      <c r="L207">
        <v>1</v>
      </c>
    </row>
    <row r="208" spans="1:12" x14ac:dyDescent="0.35">
      <c r="A208">
        <v>207</v>
      </c>
      <c r="B208" t="s">
        <v>38</v>
      </c>
      <c r="C208" t="s">
        <v>13</v>
      </c>
      <c r="D208" t="s">
        <v>31</v>
      </c>
      <c r="E208" t="s">
        <v>72</v>
      </c>
      <c r="F208" t="s">
        <v>633</v>
      </c>
      <c r="G208" t="s">
        <v>634</v>
      </c>
      <c r="H208" t="s">
        <v>635</v>
      </c>
      <c r="I208">
        <v>54.46</v>
      </c>
      <c r="J208">
        <v>7.71</v>
      </c>
      <c r="K208">
        <v>14</v>
      </c>
      <c r="L208">
        <v>2</v>
      </c>
    </row>
    <row r="209" spans="1:12" x14ac:dyDescent="0.35">
      <c r="A209">
        <v>208</v>
      </c>
      <c r="B209" t="s">
        <v>12</v>
      </c>
      <c r="C209" t="s">
        <v>13</v>
      </c>
      <c r="D209" t="s">
        <v>31</v>
      </c>
      <c r="E209" t="s">
        <v>72</v>
      </c>
      <c r="F209" t="s">
        <v>636</v>
      </c>
      <c r="G209" t="s">
        <v>637</v>
      </c>
      <c r="H209" t="s">
        <v>638</v>
      </c>
      <c r="I209">
        <v>11.85</v>
      </c>
      <c r="J209">
        <v>4.28</v>
      </c>
      <c r="K209">
        <v>7</v>
      </c>
      <c r="L209">
        <v>2</v>
      </c>
    </row>
    <row r="210" spans="1:12" x14ac:dyDescent="0.35">
      <c r="A210">
        <v>209</v>
      </c>
      <c r="B210" t="s">
        <v>38</v>
      </c>
      <c r="C210" t="s">
        <v>13</v>
      </c>
      <c r="D210" t="s">
        <v>31</v>
      </c>
      <c r="E210" t="s">
        <v>72</v>
      </c>
      <c r="F210" t="s">
        <v>639</v>
      </c>
      <c r="G210" t="s">
        <v>640</v>
      </c>
      <c r="H210" t="s">
        <v>641</v>
      </c>
      <c r="I210">
        <v>19.440000000000001</v>
      </c>
      <c r="J210">
        <v>6.87</v>
      </c>
      <c r="K210">
        <v>7</v>
      </c>
      <c r="L210">
        <v>3</v>
      </c>
    </row>
    <row r="211" spans="1:12" x14ac:dyDescent="0.35">
      <c r="A211">
        <v>210</v>
      </c>
      <c r="B211" t="s">
        <v>26</v>
      </c>
      <c r="C211" t="s">
        <v>13</v>
      </c>
      <c r="D211" t="s">
        <v>14</v>
      </c>
      <c r="E211" t="s">
        <v>72</v>
      </c>
      <c r="F211" t="s">
        <v>642</v>
      </c>
      <c r="G211" t="s">
        <v>643</v>
      </c>
      <c r="H211" t="s">
        <v>644</v>
      </c>
      <c r="I211">
        <v>7.84</v>
      </c>
      <c r="J211">
        <v>4.3899999999999997</v>
      </c>
      <c r="K211">
        <v>4</v>
      </c>
      <c r="L211">
        <v>3</v>
      </c>
    </row>
    <row r="212" spans="1:12" x14ac:dyDescent="0.35">
      <c r="A212">
        <v>211</v>
      </c>
      <c r="B212" t="s">
        <v>22</v>
      </c>
      <c r="C212" t="s">
        <v>13</v>
      </c>
      <c r="D212" t="s">
        <v>31</v>
      </c>
      <c r="E212" t="s">
        <v>27</v>
      </c>
      <c r="F212" t="s">
        <v>645</v>
      </c>
      <c r="G212" t="s">
        <v>646</v>
      </c>
      <c r="H212" t="s">
        <v>647</v>
      </c>
      <c r="I212">
        <v>16.37</v>
      </c>
      <c r="J212">
        <v>7.67</v>
      </c>
      <c r="K212">
        <v>5</v>
      </c>
      <c r="L212">
        <v>2</v>
      </c>
    </row>
    <row r="213" spans="1:12" x14ac:dyDescent="0.35">
      <c r="A213">
        <v>212</v>
      </c>
      <c r="B213" t="s">
        <v>38</v>
      </c>
      <c r="C213" t="s">
        <v>13</v>
      </c>
      <c r="D213" t="s">
        <v>31</v>
      </c>
      <c r="E213" t="s">
        <v>15</v>
      </c>
      <c r="F213" t="s">
        <v>648</v>
      </c>
      <c r="G213" t="s">
        <v>649</v>
      </c>
      <c r="H213" t="s">
        <v>650</v>
      </c>
      <c r="I213">
        <v>110.16</v>
      </c>
      <c r="J213">
        <v>8.2200000000000006</v>
      </c>
      <c r="K213">
        <v>12</v>
      </c>
      <c r="L213">
        <v>1</v>
      </c>
    </row>
    <row r="214" spans="1:12" x14ac:dyDescent="0.35">
      <c r="A214">
        <v>213</v>
      </c>
      <c r="B214" t="s">
        <v>22</v>
      </c>
      <c r="C214" t="s">
        <v>13</v>
      </c>
      <c r="D214" t="s">
        <v>14</v>
      </c>
      <c r="E214" t="s">
        <v>15</v>
      </c>
      <c r="F214" t="s">
        <v>651</v>
      </c>
      <c r="G214" t="s">
        <v>652</v>
      </c>
      <c r="H214" t="s">
        <v>653</v>
      </c>
      <c r="I214">
        <v>0.5</v>
      </c>
      <c r="J214">
        <v>6.44</v>
      </c>
      <c r="K214">
        <v>0</v>
      </c>
      <c r="L214">
        <v>3</v>
      </c>
    </row>
    <row r="215" spans="1:12" x14ac:dyDescent="0.35">
      <c r="A215">
        <v>214</v>
      </c>
      <c r="B215" t="s">
        <v>26</v>
      </c>
      <c r="C215" t="s">
        <v>13</v>
      </c>
      <c r="D215" t="s">
        <v>31</v>
      </c>
      <c r="E215" t="s">
        <v>15</v>
      </c>
      <c r="F215" t="s">
        <v>654</v>
      </c>
      <c r="G215" t="s">
        <v>655</v>
      </c>
      <c r="H215" t="s">
        <v>656</v>
      </c>
      <c r="I215">
        <v>29.91</v>
      </c>
      <c r="J215">
        <v>7.53</v>
      </c>
      <c r="K215">
        <v>5</v>
      </c>
      <c r="L215">
        <v>1</v>
      </c>
    </row>
    <row r="216" spans="1:12" x14ac:dyDescent="0.35">
      <c r="A216">
        <v>215</v>
      </c>
      <c r="B216" t="s">
        <v>12</v>
      </c>
      <c r="C216" t="s">
        <v>13</v>
      </c>
      <c r="D216" t="s">
        <v>31</v>
      </c>
      <c r="E216" t="s">
        <v>27</v>
      </c>
      <c r="F216" t="s">
        <v>657</v>
      </c>
      <c r="G216" t="s">
        <v>658</v>
      </c>
      <c r="H216" t="s">
        <v>659</v>
      </c>
      <c r="I216">
        <v>12.48</v>
      </c>
      <c r="J216">
        <v>5.01</v>
      </c>
      <c r="K216">
        <v>7</v>
      </c>
      <c r="L216">
        <v>3</v>
      </c>
    </row>
    <row r="217" spans="1:12" x14ac:dyDescent="0.35">
      <c r="A217">
        <v>216</v>
      </c>
      <c r="B217" t="s">
        <v>26</v>
      </c>
      <c r="C217" t="s">
        <v>13</v>
      </c>
      <c r="D217" t="s">
        <v>31</v>
      </c>
      <c r="E217" t="s">
        <v>72</v>
      </c>
      <c r="F217" t="s">
        <v>660</v>
      </c>
      <c r="G217" t="s">
        <v>661</v>
      </c>
      <c r="H217" t="s">
        <v>662</v>
      </c>
      <c r="I217">
        <v>27.54</v>
      </c>
      <c r="J217">
        <v>4.66</v>
      </c>
      <c r="K217">
        <v>6</v>
      </c>
      <c r="L217">
        <v>1</v>
      </c>
    </row>
    <row r="218" spans="1:12" x14ac:dyDescent="0.35">
      <c r="A218">
        <v>217</v>
      </c>
      <c r="B218" t="s">
        <v>12</v>
      </c>
      <c r="C218" t="s">
        <v>13</v>
      </c>
      <c r="D218" t="s">
        <v>14</v>
      </c>
      <c r="E218" t="s">
        <v>27</v>
      </c>
      <c r="F218" t="s">
        <v>663</v>
      </c>
      <c r="G218" t="s">
        <v>664</v>
      </c>
      <c r="H218" t="s">
        <v>665</v>
      </c>
      <c r="I218">
        <v>22.2</v>
      </c>
      <c r="J218">
        <v>4.25</v>
      </c>
      <c r="K218">
        <v>9</v>
      </c>
      <c r="L218">
        <v>2</v>
      </c>
    </row>
    <row r="219" spans="1:12" x14ac:dyDescent="0.35">
      <c r="A219">
        <v>218</v>
      </c>
      <c r="B219" t="s">
        <v>38</v>
      </c>
      <c r="C219" t="s">
        <v>13</v>
      </c>
      <c r="D219" t="s">
        <v>31</v>
      </c>
      <c r="E219" t="s">
        <v>72</v>
      </c>
      <c r="F219" t="s">
        <v>666</v>
      </c>
      <c r="G219" t="s">
        <v>667</v>
      </c>
      <c r="H219" t="s">
        <v>668</v>
      </c>
      <c r="I219">
        <v>23.61</v>
      </c>
      <c r="J219">
        <v>6.03</v>
      </c>
      <c r="K219">
        <v>6</v>
      </c>
      <c r="L219">
        <v>2</v>
      </c>
    </row>
    <row r="220" spans="1:12" x14ac:dyDescent="0.35">
      <c r="A220">
        <v>219</v>
      </c>
      <c r="B220" t="s">
        <v>22</v>
      </c>
      <c r="C220" t="s">
        <v>13</v>
      </c>
      <c r="D220" t="s">
        <v>14</v>
      </c>
      <c r="E220" t="s">
        <v>27</v>
      </c>
      <c r="F220" t="s">
        <v>669</v>
      </c>
      <c r="G220" t="s">
        <v>670</v>
      </c>
      <c r="H220" t="s">
        <v>671</v>
      </c>
      <c r="I220">
        <v>13.93</v>
      </c>
      <c r="J220">
        <v>5.8</v>
      </c>
      <c r="K220">
        <v>8</v>
      </c>
      <c r="L220">
        <v>3</v>
      </c>
    </row>
    <row r="221" spans="1:12" x14ac:dyDescent="0.35">
      <c r="A221">
        <v>220</v>
      </c>
      <c r="B221" t="s">
        <v>38</v>
      </c>
      <c r="C221" t="s">
        <v>13</v>
      </c>
      <c r="D221" t="s">
        <v>14</v>
      </c>
      <c r="E221" t="s">
        <v>27</v>
      </c>
      <c r="F221" t="s">
        <v>672</v>
      </c>
      <c r="G221" t="s">
        <v>673</v>
      </c>
      <c r="H221" t="s">
        <v>674</v>
      </c>
      <c r="I221">
        <v>34.950000000000003</v>
      </c>
      <c r="J221">
        <v>9.68</v>
      </c>
      <c r="K221">
        <v>8</v>
      </c>
      <c r="L221">
        <v>2</v>
      </c>
    </row>
    <row r="222" spans="1:12" x14ac:dyDescent="0.35">
      <c r="A222">
        <v>221</v>
      </c>
      <c r="B222" t="s">
        <v>12</v>
      </c>
      <c r="C222" t="s">
        <v>13</v>
      </c>
      <c r="D222" t="s">
        <v>31</v>
      </c>
      <c r="E222" t="s">
        <v>15</v>
      </c>
      <c r="F222" t="s">
        <v>675</v>
      </c>
      <c r="G222" t="s">
        <v>676</v>
      </c>
      <c r="H222" t="s">
        <v>677</v>
      </c>
      <c r="I222">
        <v>1.76</v>
      </c>
      <c r="J222">
        <v>3.94</v>
      </c>
      <c r="K222">
        <v>2</v>
      </c>
      <c r="L222">
        <v>3</v>
      </c>
    </row>
    <row r="223" spans="1:12" x14ac:dyDescent="0.35">
      <c r="A223">
        <v>222</v>
      </c>
      <c r="B223" t="s">
        <v>26</v>
      </c>
      <c r="C223" t="s">
        <v>13</v>
      </c>
      <c r="D223" t="s">
        <v>31</v>
      </c>
      <c r="E223" t="s">
        <v>72</v>
      </c>
      <c r="F223" t="s">
        <v>678</v>
      </c>
      <c r="G223" t="s">
        <v>679</v>
      </c>
      <c r="H223" t="s">
        <v>680</v>
      </c>
      <c r="I223">
        <v>23.21</v>
      </c>
      <c r="J223">
        <v>4.79</v>
      </c>
      <c r="K223">
        <v>5</v>
      </c>
      <c r="L223">
        <v>1</v>
      </c>
    </row>
    <row r="224" spans="1:12" x14ac:dyDescent="0.35">
      <c r="A224">
        <v>223</v>
      </c>
      <c r="B224" t="s">
        <v>26</v>
      </c>
      <c r="C224" t="s">
        <v>13</v>
      </c>
      <c r="D224" t="s">
        <v>31</v>
      </c>
      <c r="E224" t="s">
        <v>72</v>
      </c>
      <c r="F224" t="s">
        <v>681</v>
      </c>
      <c r="G224" t="s">
        <v>682</v>
      </c>
      <c r="H224" t="s">
        <v>683</v>
      </c>
      <c r="I224">
        <v>5.96</v>
      </c>
      <c r="J224">
        <v>5.68</v>
      </c>
      <c r="K224">
        <v>2</v>
      </c>
      <c r="L224">
        <v>1</v>
      </c>
    </row>
    <row r="225" spans="1:12" x14ac:dyDescent="0.35">
      <c r="A225">
        <v>224</v>
      </c>
      <c r="B225" t="s">
        <v>26</v>
      </c>
      <c r="C225" t="s">
        <v>13</v>
      </c>
      <c r="D225" t="s">
        <v>31</v>
      </c>
      <c r="E225" t="s">
        <v>15</v>
      </c>
      <c r="F225" t="s">
        <v>684</v>
      </c>
      <c r="G225" t="s">
        <v>685</v>
      </c>
      <c r="H225" t="s">
        <v>686</v>
      </c>
      <c r="I225">
        <v>11.46</v>
      </c>
      <c r="J225">
        <v>4.99</v>
      </c>
      <c r="K225">
        <v>5</v>
      </c>
      <c r="L225">
        <v>2</v>
      </c>
    </row>
    <row r="226" spans="1:12" x14ac:dyDescent="0.35">
      <c r="A226">
        <v>225</v>
      </c>
      <c r="B226" t="s">
        <v>38</v>
      </c>
      <c r="C226" t="s">
        <v>13</v>
      </c>
      <c r="D226" t="s">
        <v>14</v>
      </c>
      <c r="E226" t="s">
        <v>27</v>
      </c>
      <c r="F226" t="s">
        <v>687</v>
      </c>
      <c r="G226" t="s">
        <v>688</v>
      </c>
      <c r="H226" t="s">
        <v>689</v>
      </c>
      <c r="I226">
        <v>27.53</v>
      </c>
      <c r="J226">
        <v>7.91</v>
      </c>
      <c r="K226">
        <v>10</v>
      </c>
      <c r="L226">
        <v>3</v>
      </c>
    </row>
    <row r="227" spans="1:12" x14ac:dyDescent="0.35">
      <c r="A227">
        <v>226</v>
      </c>
      <c r="B227" t="s">
        <v>12</v>
      </c>
      <c r="C227" t="s">
        <v>13</v>
      </c>
      <c r="D227" t="s">
        <v>14</v>
      </c>
      <c r="E227" t="s">
        <v>27</v>
      </c>
      <c r="F227" t="s">
        <v>690</v>
      </c>
      <c r="G227" t="s">
        <v>691</v>
      </c>
      <c r="H227" t="s">
        <v>692</v>
      </c>
      <c r="I227">
        <v>6.71</v>
      </c>
      <c r="J227">
        <v>5.24</v>
      </c>
      <c r="K227">
        <v>4</v>
      </c>
      <c r="L227">
        <v>3</v>
      </c>
    </row>
    <row r="228" spans="1:12" x14ac:dyDescent="0.35">
      <c r="A228">
        <v>227</v>
      </c>
      <c r="B228" t="s">
        <v>22</v>
      </c>
      <c r="C228" t="s">
        <v>13</v>
      </c>
      <c r="D228" t="s">
        <v>14</v>
      </c>
      <c r="E228" t="s">
        <v>72</v>
      </c>
      <c r="F228" t="s">
        <v>693</v>
      </c>
      <c r="G228" t="s">
        <v>694</v>
      </c>
      <c r="H228" t="s">
        <v>695</v>
      </c>
      <c r="I228">
        <v>11.89</v>
      </c>
      <c r="J228">
        <v>1.58</v>
      </c>
      <c r="K228">
        <v>3</v>
      </c>
      <c r="L228">
        <v>1</v>
      </c>
    </row>
    <row r="229" spans="1:12" x14ac:dyDescent="0.35">
      <c r="A229">
        <v>228</v>
      </c>
      <c r="B229" t="s">
        <v>22</v>
      </c>
      <c r="C229" t="s">
        <v>13</v>
      </c>
      <c r="D229" t="s">
        <v>14</v>
      </c>
      <c r="E229" t="s">
        <v>72</v>
      </c>
      <c r="F229" t="s">
        <v>696</v>
      </c>
      <c r="G229" t="s">
        <v>697</v>
      </c>
      <c r="H229" t="s">
        <v>698</v>
      </c>
      <c r="I229">
        <v>7.93</v>
      </c>
      <c r="J229">
        <v>4.57</v>
      </c>
      <c r="K229">
        <v>6</v>
      </c>
      <c r="L229">
        <v>3</v>
      </c>
    </row>
    <row r="230" spans="1:12" x14ac:dyDescent="0.35">
      <c r="A230">
        <v>229</v>
      </c>
      <c r="B230" t="s">
        <v>26</v>
      </c>
      <c r="C230" t="s">
        <v>13</v>
      </c>
      <c r="D230" t="s">
        <v>31</v>
      </c>
      <c r="E230" t="s">
        <v>15</v>
      </c>
      <c r="F230" t="s">
        <v>699</v>
      </c>
      <c r="G230" t="s">
        <v>700</v>
      </c>
      <c r="H230" t="s">
        <v>357</v>
      </c>
      <c r="I230">
        <v>26.54</v>
      </c>
      <c r="J230">
        <v>5.01</v>
      </c>
      <c r="K230">
        <v>5</v>
      </c>
      <c r="L230">
        <v>1</v>
      </c>
    </row>
    <row r="231" spans="1:12" x14ac:dyDescent="0.35">
      <c r="A231">
        <v>230</v>
      </c>
      <c r="B231" t="s">
        <v>26</v>
      </c>
      <c r="C231" t="s">
        <v>13</v>
      </c>
      <c r="D231" t="s">
        <v>31</v>
      </c>
      <c r="E231" t="s">
        <v>15</v>
      </c>
      <c r="F231" t="s">
        <v>701</v>
      </c>
      <c r="G231" t="s">
        <v>702</v>
      </c>
      <c r="H231" t="s">
        <v>703</v>
      </c>
      <c r="I231">
        <v>16.04</v>
      </c>
      <c r="J231">
        <v>5.44</v>
      </c>
      <c r="K231">
        <v>8</v>
      </c>
      <c r="L231">
        <v>3</v>
      </c>
    </row>
    <row r="232" spans="1:12" x14ac:dyDescent="0.35">
      <c r="A232">
        <v>231</v>
      </c>
      <c r="B232" t="s">
        <v>12</v>
      </c>
      <c r="C232" t="s">
        <v>13</v>
      </c>
      <c r="D232" t="s">
        <v>31</v>
      </c>
      <c r="E232" t="s">
        <v>15</v>
      </c>
      <c r="F232" t="s">
        <v>704</v>
      </c>
      <c r="G232" t="s">
        <v>705</v>
      </c>
      <c r="H232" t="s">
        <v>706</v>
      </c>
      <c r="I232">
        <v>12.24</v>
      </c>
      <c r="J232">
        <v>3.39</v>
      </c>
      <c r="K232">
        <v>5</v>
      </c>
      <c r="L232">
        <v>2</v>
      </c>
    </row>
    <row r="233" spans="1:12" x14ac:dyDescent="0.35">
      <c r="A233">
        <v>232</v>
      </c>
      <c r="B233" t="s">
        <v>12</v>
      </c>
      <c r="C233" t="s">
        <v>13</v>
      </c>
      <c r="D233" t="s">
        <v>14</v>
      </c>
      <c r="E233" t="s">
        <v>27</v>
      </c>
      <c r="F233" t="s">
        <v>707</v>
      </c>
      <c r="G233" t="s">
        <v>708</v>
      </c>
      <c r="H233" t="s">
        <v>709</v>
      </c>
      <c r="I233">
        <v>37.869999999999997</v>
      </c>
      <c r="J233">
        <v>5.21</v>
      </c>
      <c r="K233">
        <v>8</v>
      </c>
      <c r="L233">
        <v>1</v>
      </c>
    </row>
    <row r="234" spans="1:12" x14ac:dyDescent="0.35">
      <c r="A234">
        <v>233</v>
      </c>
      <c r="B234" t="s">
        <v>26</v>
      </c>
      <c r="C234" t="s">
        <v>13</v>
      </c>
      <c r="D234" t="s">
        <v>31</v>
      </c>
      <c r="E234" t="s">
        <v>15</v>
      </c>
      <c r="F234" t="s">
        <v>710</v>
      </c>
      <c r="G234" t="s">
        <v>711</v>
      </c>
      <c r="H234" t="s">
        <v>712</v>
      </c>
      <c r="I234">
        <v>9.61</v>
      </c>
      <c r="J234">
        <v>5.94</v>
      </c>
      <c r="K234">
        <v>6</v>
      </c>
      <c r="L234">
        <v>3</v>
      </c>
    </row>
    <row r="235" spans="1:12" x14ac:dyDescent="0.35">
      <c r="A235">
        <v>234</v>
      </c>
      <c r="B235" t="s">
        <v>22</v>
      </c>
      <c r="C235" t="s">
        <v>13</v>
      </c>
      <c r="D235" t="s">
        <v>31</v>
      </c>
      <c r="E235" t="s">
        <v>15</v>
      </c>
      <c r="F235" t="s">
        <v>713</v>
      </c>
      <c r="G235" t="s">
        <v>714</v>
      </c>
      <c r="H235" t="s">
        <v>715</v>
      </c>
      <c r="I235">
        <v>60.32</v>
      </c>
      <c r="J235">
        <v>5.95</v>
      </c>
      <c r="K235">
        <v>10</v>
      </c>
      <c r="L235">
        <v>1</v>
      </c>
    </row>
    <row r="236" spans="1:12" x14ac:dyDescent="0.35">
      <c r="A236">
        <v>235</v>
      </c>
      <c r="B236" t="s">
        <v>26</v>
      </c>
      <c r="C236" t="s">
        <v>13</v>
      </c>
      <c r="D236" t="s">
        <v>14</v>
      </c>
      <c r="E236" t="s">
        <v>27</v>
      </c>
      <c r="F236" t="s">
        <v>716</v>
      </c>
      <c r="G236" t="s">
        <v>717</v>
      </c>
      <c r="H236" t="s">
        <v>718</v>
      </c>
      <c r="I236">
        <v>11.27</v>
      </c>
      <c r="J236">
        <v>5.53</v>
      </c>
      <c r="K236">
        <v>2</v>
      </c>
      <c r="L236">
        <v>1</v>
      </c>
    </row>
    <row r="237" spans="1:12" x14ac:dyDescent="0.35">
      <c r="A237">
        <v>236</v>
      </c>
      <c r="B237" t="s">
        <v>12</v>
      </c>
      <c r="C237" t="s">
        <v>13</v>
      </c>
      <c r="D237" t="s">
        <v>14</v>
      </c>
      <c r="E237" t="s">
        <v>15</v>
      </c>
      <c r="F237" t="s">
        <v>719</v>
      </c>
      <c r="G237" t="s">
        <v>720</v>
      </c>
      <c r="H237" t="s">
        <v>721</v>
      </c>
      <c r="I237">
        <v>3.09</v>
      </c>
      <c r="J237">
        <v>4.33</v>
      </c>
      <c r="K237">
        <v>2</v>
      </c>
      <c r="L237">
        <v>3</v>
      </c>
    </row>
    <row r="238" spans="1:12" x14ac:dyDescent="0.35">
      <c r="A238">
        <v>237</v>
      </c>
      <c r="B238" t="s">
        <v>22</v>
      </c>
      <c r="C238" t="s">
        <v>13</v>
      </c>
      <c r="D238" t="s">
        <v>31</v>
      </c>
      <c r="E238" t="s">
        <v>27</v>
      </c>
      <c r="F238" t="s">
        <v>217</v>
      </c>
      <c r="G238" t="s">
        <v>722</v>
      </c>
      <c r="H238" t="s">
        <v>723</v>
      </c>
      <c r="I238">
        <v>36.36</v>
      </c>
      <c r="J238">
        <v>7.57</v>
      </c>
      <c r="K238">
        <v>10</v>
      </c>
      <c r="L238">
        <v>2</v>
      </c>
    </row>
    <row r="239" spans="1:12" x14ac:dyDescent="0.35">
      <c r="A239">
        <v>238</v>
      </c>
      <c r="B239" t="s">
        <v>12</v>
      </c>
      <c r="C239" t="s">
        <v>13</v>
      </c>
      <c r="D239" t="s">
        <v>31</v>
      </c>
      <c r="E239" t="s">
        <v>72</v>
      </c>
      <c r="F239" t="s">
        <v>724</v>
      </c>
      <c r="G239" t="s">
        <v>725</v>
      </c>
      <c r="H239" t="s">
        <v>726</v>
      </c>
      <c r="I239">
        <v>1.81</v>
      </c>
      <c r="J239">
        <v>2.17</v>
      </c>
      <c r="K239">
        <v>2</v>
      </c>
      <c r="L239">
        <v>3</v>
      </c>
    </row>
    <row r="240" spans="1:12" x14ac:dyDescent="0.35">
      <c r="A240">
        <v>239</v>
      </c>
      <c r="B240" t="s">
        <v>26</v>
      </c>
      <c r="C240" t="s">
        <v>13</v>
      </c>
      <c r="D240" t="s">
        <v>31</v>
      </c>
      <c r="E240" t="s">
        <v>27</v>
      </c>
      <c r="F240" t="s">
        <v>727</v>
      </c>
      <c r="G240" t="s">
        <v>728</v>
      </c>
      <c r="H240" t="s">
        <v>729</v>
      </c>
      <c r="I240">
        <v>20.100000000000001</v>
      </c>
      <c r="J240">
        <v>6.44</v>
      </c>
      <c r="K240">
        <v>10</v>
      </c>
      <c r="L240">
        <v>3</v>
      </c>
    </row>
    <row r="241" spans="1:12" x14ac:dyDescent="0.35">
      <c r="A241">
        <v>240</v>
      </c>
      <c r="B241" t="s">
        <v>22</v>
      </c>
      <c r="C241" t="s">
        <v>13</v>
      </c>
      <c r="D241" t="s">
        <v>31</v>
      </c>
      <c r="E241" t="s">
        <v>27</v>
      </c>
      <c r="F241" t="s">
        <v>730</v>
      </c>
      <c r="G241" t="s">
        <v>731</v>
      </c>
      <c r="H241" t="s">
        <v>732</v>
      </c>
      <c r="I241">
        <v>20.260000000000002</v>
      </c>
      <c r="J241">
        <v>5.7</v>
      </c>
      <c r="K241">
        <v>8</v>
      </c>
      <c r="L241">
        <v>3</v>
      </c>
    </row>
    <row r="242" spans="1:12" x14ac:dyDescent="0.35">
      <c r="A242">
        <v>241</v>
      </c>
      <c r="B242" t="s">
        <v>12</v>
      </c>
      <c r="C242" t="s">
        <v>13</v>
      </c>
      <c r="D242" t="s">
        <v>31</v>
      </c>
      <c r="E242" t="s">
        <v>15</v>
      </c>
      <c r="F242" t="s">
        <v>733</v>
      </c>
      <c r="G242" t="s">
        <v>734</v>
      </c>
      <c r="H242" t="s">
        <v>735</v>
      </c>
      <c r="I242">
        <v>19.18</v>
      </c>
      <c r="J242">
        <v>2.5499999999999998</v>
      </c>
      <c r="K242">
        <v>9</v>
      </c>
      <c r="L242">
        <v>2</v>
      </c>
    </row>
    <row r="243" spans="1:12" x14ac:dyDescent="0.35">
      <c r="A243">
        <v>242</v>
      </c>
      <c r="B243" t="s">
        <v>22</v>
      </c>
      <c r="C243" t="s">
        <v>13</v>
      </c>
      <c r="D243" t="s">
        <v>14</v>
      </c>
      <c r="E243" t="s">
        <v>15</v>
      </c>
      <c r="F243" t="s">
        <v>736</v>
      </c>
      <c r="G243" t="s">
        <v>737</v>
      </c>
      <c r="H243" t="s">
        <v>738</v>
      </c>
      <c r="I243">
        <v>31.55</v>
      </c>
      <c r="J243">
        <v>5.37</v>
      </c>
      <c r="K243">
        <v>6</v>
      </c>
      <c r="L243">
        <v>1</v>
      </c>
    </row>
    <row r="244" spans="1:12" x14ac:dyDescent="0.35">
      <c r="A244">
        <v>243</v>
      </c>
      <c r="B244" t="s">
        <v>38</v>
      </c>
      <c r="C244" t="s">
        <v>13</v>
      </c>
      <c r="D244" t="s">
        <v>31</v>
      </c>
      <c r="E244" t="s">
        <v>72</v>
      </c>
      <c r="F244" t="s">
        <v>739</v>
      </c>
      <c r="G244" t="s">
        <v>740</v>
      </c>
      <c r="H244" t="s">
        <v>741</v>
      </c>
      <c r="I244">
        <v>34.299999999999997</v>
      </c>
      <c r="J244">
        <v>8.61</v>
      </c>
      <c r="K244">
        <v>9</v>
      </c>
      <c r="L244">
        <v>2</v>
      </c>
    </row>
    <row r="245" spans="1:12" x14ac:dyDescent="0.35">
      <c r="A245">
        <v>244</v>
      </c>
      <c r="B245" t="s">
        <v>22</v>
      </c>
      <c r="C245" t="s">
        <v>13</v>
      </c>
      <c r="D245" t="s">
        <v>14</v>
      </c>
      <c r="E245" t="s">
        <v>72</v>
      </c>
      <c r="F245" t="s">
        <v>742</v>
      </c>
      <c r="G245" t="s">
        <v>743</v>
      </c>
      <c r="H245" t="s">
        <v>744</v>
      </c>
      <c r="I245">
        <v>15.17</v>
      </c>
      <c r="J245">
        <v>4.2</v>
      </c>
      <c r="K245">
        <v>4</v>
      </c>
      <c r="L245">
        <v>1</v>
      </c>
    </row>
    <row r="246" spans="1:12" x14ac:dyDescent="0.35">
      <c r="A246">
        <v>245</v>
      </c>
      <c r="B246" t="s">
        <v>12</v>
      </c>
      <c r="C246" t="s">
        <v>13</v>
      </c>
      <c r="D246" t="s">
        <v>31</v>
      </c>
      <c r="E246" t="s">
        <v>15</v>
      </c>
      <c r="F246" t="s">
        <v>605</v>
      </c>
      <c r="G246" t="s">
        <v>745</v>
      </c>
      <c r="H246" t="s">
        <v>746</v>
      </c>
      <c r="I246">
        <v>20.75</v>
      </c>
      <c r="J246">
        <v>6.54</v>
      </c>
      <c r="K246">
        <v>4</v>
      </c>
      <c r="L246">
        <v>1</v>
      </c>
    </row>
    <row r="247" spans="1:12" x14ac:dyDescent="0.35">
      <c r="A247">
        <v>246</v>
      </c>
      <c r="B247" t="s">
        <v>22</v>
      </c>
      <c r="C247" t="s">
        <v>13</v>
      </c>
      <c r="D247" t="s">
        <v>14</v>
      </c>
      <c r="E247" t="s">
        <v>15</v>
      </c>
      <c r="F247" t="s">
        <v>747</v>
      </c>
      <c r="G247" t="s">
        <v>748</v>
      </c>
      <c r="H247" t="s">
        <v>749</v>
      </c>
      <c r="I247">
        <v>15.63</v>
      </c>
      <c r="J247">
        <v>6.34</v>
      </c>
      <c r="K247">
        <v>3</v>
      </c>
      <c r="L247">
        <v>1</v>
      </c>
    </row>
    <row r="248" spans="1:12" x14ac:dyDescent="0.35">
      <c r="A248">
        <v>247</v>
      </c>
      <c r="B248" t="s">
        <v>26</v>
      </c>
      <c r="C248" t="s">
        <v>13</v>
      </c>
      <c r="D248" t="s">
        <v>31</v>
      </c>
      <c r="E248" t="s">
        <v>15</v>
      </c>
      <c r="F248" t="s">
        <v>750</v>
      </c>
      <c r="G248" t="s">
        <v>751</v>
      </c>
      <c r="H248" t="s">
        <v>752</v>
      </c>
      <c r="I248">
        <v>9.74</v>
      </c>
      <c r="J248">
        <v>6.02</v>
      </c>
      <c r="K248">
        <v>3</v>
      </c>
      <c r="L248">
        <v>2</v>
      </c>
    </row>
    <row r="249" spans="1:12" x14ac:dyDescent="0.35">
      <c r="A249">
        <v>248</v>
      </c>
      <c r="B249" t="s">
        <v>26</v>
      </c>
      <c r="C249" t="s">
        <v>13</v>
      </c>
      <c r="D249" t="s">
        <v>14</v>
      </c>
      <c r="E249" t="s">
        <v>15</v>
      </c>
      <c r="F249" t="s">
        <v>753</v>
      </c>
      <c r="G249" t="s">
        <v>107</v>
      </c>
      <c r="H249" t="s">
        <v>754</v>
      </c>
      <c r="I249">
        <v>15.89</v>
      </c>
      <c r="J249">
        <v>5.55</v>
      </c>
      <c r="K249">
        <v>7</v>
      </c>
      <c r="L249">
        <v>2</v>
      </c>
    </row>
    <row r="250" spans="1:12" x14ac:dyDescent="0.35">
      <c r="A250">
        <v>249</v>
      </c>
      <c r="B250" t="s">
        <v>22</v>
      </c>
      <c r="C250" t="s">
        <v>13</v>
      </c>
      <c r="D250" t="s">
        <v>31</v>
      </c>
      <c r="E250" t="s">
        <v>15</v>
      </c>
      <c r="F250" t="s">
        <v>755</v>
      </c>
      <c r="G250" t="s">
        <v>756</v>
      </c>
      <c r="H250" t="s">
        <v>757</v>
      </c>
      <c r="I250">
        <v>24.99</v>
      </c>
      <c r="J250">
        <v>6.03</v>
      </c>
      <c r="K250">
        <v>7</v>
      </c>
      <c r="L250">
        <v>2</v>
      </c>
    </row>
    <row r="251" spans="1:12" x14ac:dyDescent="0.35">
      <c r="A251">
        <v>250</v>
      </c>
      <c r="B251" t="s">
        <v>26</v>
      </c>
      <c r="C251" t="s">
        <v>13</v>
      </c>
      <c r="D251" t="s">
        <v>31</v>
      </c>
      <c r="E251" t="s">
        <v>72</v>
      </c>
      <c r="F251" t="s">
        <v>758</v>
      </c>
      <c r="G251" t="s">
        <v>759</v>
      </c>
      <c r="H251" t="s">
        <v>760</v>
      </c>
      <c r="I251">
        <v>28.14</v>
      </c>
      <c r="J251">
        <v>2.59</v>
      </c>
      <c r="K251">
        <v>6</v>
      </c>
      <c r="L251">
        <v>1</v>
      </c>
    </row>
    <row r="252" spans="1:12" x14ac:dyDescent="0.35">
      <c r="A252">
        <v>251</v>
      </c>
      <c r="B252" t="s">
        <v>38</v>
      </c>
      <c r="C252" t="s">
        <v>13</v>
      </c>
      <c r="D252" t="s">
        <v>14</v>
      </c>
      <c r="E252" t="s">
        <v>15</v>
      </c>
      <c r="F252" t="s">
        <v>761</v>
      </c>
      <c r="G252" t="s">
        <v>762</v>
      </c>
      <c r="H252" t="s">
        <v>763</v>
      </c>
      <c r="I252">
        <v>13.14</v>
      </c>
      <c r="J252">
        <v>6.23</v>
      </c>
      <c r="K252">
        <v>5</v>
      </c>
      <c r="L252">
        <v>3</v>
      </c>
    </row>
    <row r="253" spans="1:12" x14ac:dyDescent="0.35">
      <c r="A253">
        <v>252</v>
      </c>
      <c r="B253" t="s">
        <v>12</v>
      </c>
      <c r="C253" t="s">
        <v>13</v>
      </c>
      <c r="D253" t="s">
        <v>14</v>
      </c>
      <c r="E253" t="s">
        <v>27</v>
      </c>
      <c r="F253" t="s">
        <v>764</v>
      </c>
      <c r="G253" t="s">
        <v>765</v>
      </c>
      <c r="H253" t="s">
        <v>766</v>
      </c>
      <c r="I253">
        <v>8.4499999999999993</v>
      </c>
      <c r="J253">
        <v>3.97</v>
      </c>
      <c r="K253">
        <v>3</v>
      </c>
      <c r="L253">
        <v>2</v>
      </c>
    </row>
    <row r="254" spans="1:12" x14ac:dyDescent="0.35">
      <c r="A254">
        <v>253</v>
      </c>
      <c r="B254" t="s">
        <v>26</v>
      </c>
      <c r="C254" t="s">
        <v>13</v>
      </c>
      <c r="D254" t="s">
        <v>14</v>
      </c>
      <c r="E254" t="s">
        <v>27</v>
      </c>
      <c r="F254" t="s">
        <v>767</v>
      </c>
      <c r="G254" t="s">
        <v>768</v>
      </c>
      <c r="H254" t="s">
        <v>769</v>
      </c>
      <c r="I254">
        <v>11.67</v>
      </c>
      <c r="J254">
        <v>5.47</v>
      </c>
      <c r="K254">
        <v>5</v>
      </c>
      <c r="L254">
        <v>2</v>
      </c>
    </row>
    <row r="255" spans="1:12" x14ac:dyDescent="0.35">
      <c r="A255">
        <v>254</v>
      </c>
      <c r="B255" t="s">
        <v>38</v>
      </c>
      <c r="C255" t="s">
        <v>13</v>
      </c>
      <c r="D255" t="s">
        <v>14</v>
      </c>
      <c r="E255" t="s">
        <v>27</v>
      </c>
      <c r="F255" t="s">
        <v>770</v>
      </c>
      <c r="G255" t="s">
        <v>771</v>
      </c>
      <c r="H255" t="s">
        <v>772</v>
      </c>
      <c r="I255">
        <v>42.65</v>
      </c>
      <c r="J255">
        <v>8.9600000000000009</v>
      </c>
      <c r="K255">
        <v>10</v>
      </c>
      <c r="L255">
        <v>2</v>
      </c>
    </row>
    <row r="256" spans="1:12" x14ac:dyDescent="0.35">
      <c r="A256">
        <v>255</v>
      </c>
      <c r="B256" t="s">
        <v>22</v>
      </c>
      <c r="C256" t="s">
        <v>13</v>
      </c>
      <c r="D256" t="s">
        <v>31</v>
      </c>
      <c r="E256" t="s">
        <v>72</v>
      </c>
      <c r="F256" t="s">
        <v>773</v>
      </c>
      <c r="G256" t="s">
        <v>774</v>
      </c>
      <c r="H256" t="s">
        <v>775</v>
      </c>
      <c r="I256">
        <v>12.78</v>
      </c>
      <c r="J256">
        <v>5.55</v>
      </c>
      <c r="K256">
        <v>5</v>
      </c>
      <c r="L256">
        <v>2</v>
      </c>
    </row>
    <row r="257" spans="1:12" x14ac:dyDescent="0.35">
      <c r="A257">
        <v>256</v>
      </c>
      <c r="B257" t="s">
        <v>12</v>
      </c>
      <c r="C257" t="s">
        <v>13</v>
      </c>
      <c r="D257" t="s">
        <v>31</v>
      </c>
      <c r="E257" t="s">
        <v>72</v>
      </c>
      <c r="F257" t="s">
        <v>776</v>
      </c>
      <c r="G257" t="s">
        <v>777</v>
      </c>
      <c r="H257" t="s">
        <v>778</v>
      </c>
      <c r="I257">
        <v>3.14</v>
      </c>
      <c r="J257">
        <v>4.54</v>
      </c>
      <c r="K257">
        <v>2</v>
      </c>
      <c r="L257">
        <v>2</v>
      </c>
    </row>
    <row r="258" spans="1:12" x14ac:dyDescent="0.35">
      <c r="A258">
        <v>257</v>
      </c>
      <c r="B258" t="s">
        <v>22</v>
      </c>
      <c r="C258" t="s">
        <v>13</v>
      </c>
      <c r="D258" t="s">
        <v>31</v>
      </c>
      <c r="E258" t="s">
        <v>27</v>
      </c>
      <c r="F258" t="s">
        <v>779</v>
      </c>
      <c r="G258" t="s">
        <v>780</v>
      </c>
      <c r="H258" t="s">
        <v>781</v>
      </c>
      <c r="I258">
        <v>41.78</v>
      </c>
      <c r="J258">
        <v>6.37</v>
      </c>
      <c r="K258">
        <v>6</v>
      </c>
      <c r="L258">
        <v>1</v>
      </c>
    </row>
    <row r="259" spans="1:12" x14ac:dyDescent="0.35">
      <c r="A259">
        <v>258</v>
      </c>
      <c r="B259" t="s">
        <v>38</v>
      </c>
      <c r="C259" t="s">
        <v>13</v>
      </c>
      <c r="D259" t="s">
        <v>14</v>
      </c>
      <c r="E259" t="s">
        <v>72</v>
      </c>
      <c r="F259" t="s">
        <v>782</v>
      </c>
      <c r="G259" t="s">
        <v>783</v>
      </c>
      <c r="H259" t="s">
        <v>784</v>
      </c>
      <c r="I259">
        <v>17.309999999999999</v>
      </c>
      <c r="J259">
        <v>6.73</v>
      </c>
      <c r="K259">
        <v>5</v>
      </c>
      <c r="L259">
        <v>2</v>
      </c>
    </row>
    <row r="260" spans="1:12" x14ac:dyDescent="0.35">
      <c r="A260">
        <v>259</v>
      </c>
      <c r="B260" t="s">
        <v>22</v>
      </c>
      <c r="C260" t="s">
        <v>13</v>
      </c>
      <c r="D260" t="s">
        <v>31</v>
      </c>
      <c r="E260" t="s">
        <v>72</v>
      </c>
      <c r="F260" t="s">
        <v>785</v>
      </c>
      <c r="G260" t="s">
        <v>786</v>
      </c>
      <c r="H260" t="s">
        <v>787</v>
      </c>
      <c r="I260">
        <v>7.28</v>
      </c>
      <c r="J260">
        <v>5.51</v>
      </c>
      <c r="K260">
        <v>5</v>
      </c>
      <c r="L260">
        <v>3</v>
      </c>
    </row>
    <row r="261" spans="1:12" x14ac:dyDescent="0.35">
      <c r="A261">
        <v>260</v>
      </c>
      <c r="B261" t="s">
        <v>26</v>
      </c>
      <c r="C261" t="s">
        <v>13</v>
      </c>
      <c r="D261" t="s">
        <v>14</v>
      </c>
      <c r="E261" t="s">
        <v>72</v>
      </c>
      <c r="F261" t="s">
        <v>788</v>
      </c>
      <c r="G261" t="s">
        <v>789</v>
      </c>
      <c r="H261" t="s">
        <v>790</v>
      </c>
      <c r="I261">
        <v>0.5</v>
      </c>
      <c r="J261">
        <v>3.35</v>
      </c>
      <c r="K261">
        <v>0</v>
      </c>
      <c r="L261">
        <v>1</v>
      </c>
    </row>
    <row r="262" spans="1:12" x14ac:dyDescent="0.35">
      <c r="A262">
        <v>261</v>
      </c>
      <c r="B262" t="s">
        <v>22</v>
      </c>
      <c r="C262" t="s">
        <v>13</v>
      </c>
      <c r="D262" t="s">
        <v>14</v>
      </c>
      <c r="E262" t="s">
        <v>27</v>
      </c>
      <c r="F262" t="s">
        <v>791</v>
      </c>
      <c r="G262" t="s">
        <v>792</v>
      </c>
      <c r="H262" t="s">
        <v>793</v>
      </c>
      <c r="I262">
        <v>5.84</v>
      </c>
      <c r="J262">
        <v>6.58</v>
      </c>
      <c r="K262">
        <v>3</v>
      </c>
      <c r="L262">
        <v>2</v>
      </c>
    </row>
    <row r="263" spans="1:12" x14ac:dyDescent="0.35">
      <c r="A263">
        <v>262</v>
      </c>
      <c r="B263" t="s">
        <v>22</v>
      </c>
      <c r="C263" t="s">
        <v>13</v>
      </c>
      <c r="D263" t="s">
        <v>31</v>
      </c>
      <c r="E263" t="s">
        <v>72</v>
      </c>
      <c r="F263" t="s">
        <v>794</v>
      </c>
      <c r="G263" t="s">
        <v>795</v>
      </c>
      <c r="H263" t="s">
        <v>796</v>
      </c>
      <c r="I263">
        <v>49.39</v>
      </c>
      <c r="J263">
        <v>5.89</v>
      </c>
      <c r="K263">
        <v>9</v>
      </c>
      <c r="L263">
        <v>1</v>
      </c>
    </row>
    <row r="264" spans="1:12" x14ac:dyDescent="0.35">
      <c r="A264">
        <v>263</v>
      </c>
      <c r="B264" t="s">
        <v>12</v>
      </c>
      <c r="C264" t="s">
        <v>13</v>
      </c>
      <c r="D264" t="s">
        <v>31</v>
      </c>
      <c r="E264" t="s">
        <v>27</v>
      </c>
      <c r="F264" t="s">
        <v>797</v>
      </c>
      <c r="G264" t="s">
        <v>798</v>
      </c>
      <c r="H264" t="s">
        <v>799</v>
      </c>
      <c r="I264">
        <v>24.19</v>
      </c>
      <c r="J264">
        <v>4.25</v>
      </c>
      <c r="K264">
        <v>9</v>
      </c>
      <c r="L264">
        <v>2</v>
      </c>
    </row>
    <row r="265" spans="1:12" x14ac:dyDescent="0.35">
      <c r="A265">
        <v>264</v>
      </c>
      <c r="B265" t="s">
        <v>38</v>
      </c>
      <c r="C265" t="s">
        <v>13</v>
      </c>
      <c r="D265" t="s">
        <v>14</v>
      </c>
      <c r="E265" t="s">
        <v>27</v>
      </c>
      <c r="F265" t="s">
        <v>800</v>
      </c>
      <c r="G265" t="s">
        <v>801</v>
      </c>
      <c r="H265" t="s">
        <v>802</v>
      </c>
      <c r="I265">
        <v>13.23</v>
      </c>
      <c r="J265">
        <v>9.85</v>
      </c>
      <c r="K265">
        <v>4</v>
      </c>
      <c r="L265">
        <v>3</v>
      </c>
    </row>
    <row r="266" spans="1:12" x14ac:dyDescent="0.35">
      <c r="A266">
        <v>265</v>
      </c>
      <c r="B266" t="s">
        <v>12</v>
      </c>
      <c r="C266" t="s">
        <v>13</v>
      </c>
      <c r="D266" t="s">
        <v>31</v>
      </c>
      <c r="E266" t="s">
        <v>72</v>
      </c>
      <c r="F266" t="s">
        <v>803</v>
      </c>
      <c r="G266" t="s">
        <v>804</v>
      </c>
      <c r="H266" t="s">
        <v>805</v>
      </c>
      <c r="I266">
        <v>5.87</v>
      </c>
      <c r="J266">
        <v>3.02</v>
      </c>
      <c r="K266">
        <v>2</v>
      </c>
      <c r="L266">
        <v>2</v>
      </c>
    </row>
    <row r="267" spans="1:12" x14ac:dyDescent="0.35">
      <c r="A267">
        <v>266</v>
      </c>
      <c r="B267" t="s">
        <v>22</v>
      </c>
      <c r="C267" t="s">
        <v>13</v>
      </c>
      <c r="D267" t="s">
        <v>31</v>
      </c>
      <c r="E267" t="s">
        <v>15</v>
      </c>
      <c r="F267" t="s">
        <v>806</v>
      </c>
      <c r="G267" t="s">
        <v>807</v>
      </c>
      <c r="H267" t="s">
        <v>808</v>
      </c>
      <c r="I267">
        <v>43.48</v>
      </c>
      <c r="J267">
        <v>5.73</v>
      </c>
      <c r="K267">
        <v>7</v>
      </c>
      <c r="L267">
        <v>1</v>
      </c>
    </row>
    <row r="268" spans="1:12" x14ac:dyDescent="0.35">
      <c r="A268">
        <v>267</v>
      </c>
      <c r="B268" t="s">
        <v>12</v>
      </c>
      <c r="C268" t="s">
        <v>13</v>
      </c>
      <c r="D268" t="s">
        <v>31</v>
      </c>
      <c r="E268" t="s">
        <v>72</v>
      </c>
      <c r="F268" t="s">
        <v>590</v>
      </c>
      <c r="G268" t="s">
        <v>809</v>
      </c>
      <c r="H268" t="s">
        <v>810</v>
      </c>
      <c r="I268">
        <v>8.27</v>
      </c>
      <c r="J268">
        <v>3.83</v>
      </c>
      <c r="K268">
        <v>2</v>
      </c>
      <c r="L268">
        <v>1</v>
      </c>
    </row>
    <row r="269" spans="1:12" x14ac:dyDescent="0.35">
      <c r="A269">
        <v>268</v>
      </c>
      <c r="B269" t="s">
        <v>12</v>
      </c>
      <c r="C269" t="s">
        <v>13</v>
      </c>
      <c r="D269" t="s">
        <v>31</v>
      </c>
      <c r="E269" t="s">
        <v>27</v>
      </c>
      <c r="F269" t="s">
        <v>811</v>
      </c>
      <c r="G269" t="s">
        <v>812</v>
      </c>
      <c r="H269" t="s">
        <v>813</v>
      </c>
      <c r="I269">
        <v>2.34</v>
      </c>
      <c r="J269">
        <v>7.06</v>
      </c>
      <c r="K269">
        <v>1</v>
      </c>
      <c r="L269">
        <v>2</v>
      </c>
    </row>
    <row r="270" spans="1:12" x14ac:dyDescent="0.35">
      <c r="A270">
        <v>269</v>
      </c>
      <c r="B270" t="s">
        <v>38</v>
      </c>
      <c r="C270" t="s">
        <v>13</v>
      </c>
      <c r="D270" t="s">
        <v>14</v>
      </c>
      <c r="E270" t="s">
        <v>15</v>
      </c>
      <c r="F270" t="s">
        <v>814</v>
      </c>
      <c r="G270" t="s">
        <v>815</v>
      </c>
      <c r="H270" t="s">
        <v>816</v>
      </c>
      <c r="I270">
        <v>79.87</v>
      </c>
      <c r="J270">
        <v>6.35</v>
      </c>
      <c r="K270">
        <v>11</v>
      </c>
      <c r="L270">
        <v>1</v>
      </c>
    </row>
    <row r="271" spans="1:12" x14ac:dyDescent="0.35">
      <c r="A271">
        <v>270</v>
      </c>
      <c r="B271" t="s">
        <v>38</v>
      </c>
      <c r="C271" t="s">
        <v>13</v>
      </c>
      <c r="D271" t="s">
        <v>31</v>
      </c>
      <c r="E271" t="s">
        <v>72</v>
      </c>
      <c r="F271" t="s">
        <v>817</v>
      </c>
      <c r="G271" t="s">
        <v>818</v>
      </c>
      <c r="H271" t="s">
        <v>819</v>
      </c>
      <c r="I271">
        <v>34.85</v>
      </c>
      <c r="J271">
        <v>7.33</v>
      </c>
      <c r="K271">
        <v>9</v>
      </c>
      <c r="L271">
        <v>2</v>
      </c>
    </row>
    <row r="272" spans="1:12" x14ac:dyDescent="0.35">
      <c r="A272">
        <v>271</v>
      </c>
      <c r="B272" t="s">
        <v>26</v>
      </c>
      <c r="C272" t="s">
        <v>13</v>
      </c>
      <c r="D272" t="s">
        <v>31</v>
      </c>
      <c r="E272" t="s">
        <v>27</v>
      </c>
      <c r="F272" t="s">
        <v>820</v>
      </c>
      <c r="G272" t="s">
        <v>821</v>
      </c>
      <c r="H272" t="s">
        <v>822</v>
      </c>
      <c r="I272">
        <v>18.41</v>
      </c>
      <c r="J272">
        <v>8.57</v>
      </c>
      <c r="K272">
        <v>6</v>
      </c>
      <c r="L272">
        <v>2</v>
      </c>
    </row>
    <row r="273" spans="1:12" x14ac:dyDescent="0.35">
      <c r="A273">
        <v>272</v>
      </c>
      <c r="B273" t="s">
        <v>38</v>
      </c>
      <c r="C273" t="s">
        <v>13</v>
      </c>
      <c r="D273" t="s">
        <v>31</v>
      </c>
      <c r="E273" t="s">
        <v>72</v>
      </c>
      <c r="F273" t="s">
        <v>823</v>
      </c>
      <c r="G273" t="s">
        <v>824</v>
      </c>
      <c r="H273" t="s">
        <v>825</v>
      </c>
      <c r="I273">
        <v>24.77</v>
      </c>
      <c r="J273">
        <v>6.3</v>
      </c>
      <c r="K273">
        <v>8</v>
      </c>
      <c r="L273">
        <v>3</v>
      </c>
    </row>
    <row r="274" spans="1:12" x14ac:dyDescent="0.35">
      <c r="A274">
        <v>273</v>
      </c>
      <c r="B274" t="s">
        <v>22</v>
      </c>
      <c r="C274" t="s">
        <v>13</v>
      </c>
      <c r="D274" t="s">
        <v>31</v>
      </c>
      <c r="E274" t="s">
        <v>27</v>
      </c>
      <c r="F274" t="s">
        <v>826</v>
      </c>
      <c r="G274" t="s">
        <v>827</v>
      </c>
      <c r="H274" t="s">
        <v>828</v>
      </c>
      <c r="I274">
        <v>17.72</v>
      </c>
      <c r="J274">
        <v>7.89</v>
      </c>
      <c r="K274">
        <v>8</v>
      </c>
      <c r="L274">
        <v>3</v>
      </c>
    </row>
    <row r="275" spans="1:12" x14ac:dyDescent="0.35">
      <c r="A275">
        <v>274</v>
      </c>
      <c r="B275" t="s">
        <v>38</v>
      </c>
      <c r="C275" t="s">
        <v>13</v>
      </c>
      <c r="D275" t="s">
        <v>31</v>
      </c>
      <c r="E275" t="s">
        <v>27</v>
      </c>
      <c r="F275" t="s">
        <v>829</v>
      </c>
      <c r="G275" t="s">
        <v>830</v>
      </c>
      <c r="H275" t="s">
        <v>831</v>
      </c>
      <c r="I275">
        <v>30.4</v>
      </c>
      <c r="J275">
        <v>10.53</v>
      </c>
      <c r="K275">
        <v>6</v>
      </c>
      <c r="L275">
        <v>2</v>
      </c>
    </row>
    <row r="276" spans="1:12" x14ac:dyDescent="0.35">
      <c r="A276">
        <v>275</v>
      </c>
      <c r="B276" t="s">
        <v>38</v>
      </c>
      <c r="C276" t="s">
        <v>13</v>
      </c>
      <c r="D276" t="s">
        <v>31</v>
      </c>
      <c r="E276" t="s">
        <v>72</v>
      </c>
      <c r="F276" t="s">
        <v>832</v>
      </c>
      <c r="G276" t="s">
        <v>833</v>
      </c>
      <c r="H276" t="s">
        <v>834</v>
      </c>
      <c r="I276">
        <v>44.69</v>
      </c>
      <c r="J276">
        <v>7.46</v>
      </c>
      <c r="K276">
        <v>11</v>
      </c>
      <c r="L276">
        <v>2</v>
      </c>
    </row>
    <row r="277" spans="1:12" x14ac:dyDescent="0.35">
      <c r="A277">
        <v>276</v>
      </c>
      <c r="B277" t="s">
        <v>12</v>
      </c>
      <c r="C277" t="s">
        <v>13</v>
      </c>
      <c r="D277" t="s">
        <v>14</v>
      </c>
      <c r="E277" t="s">
        <v>15</v>
      </c>
      <c r="F277" t="s">
        <v>835</v>
      </c>
      <c r="G277" t="s">
        <v>836</v>
      </c>
      <c r="H277" t="s">
        <v>837</v>
      </c>
      <c r="I277">
        <v>5.07</v>
      </c>
      <c r="J277">
        <v>5.16</v>
      </c>
      <c r="K277">
        <v>4</v>
      </c>
      <c r="L277">
        <v>3</v>
      </c>
    </row>
    <row r="278" spans="1:12" x14ac:dyDescent="0.35">
      <c r="A278">
        <v>277</v>
      </c>
      <c r="B278" t="s">
        <v>22</v>
      </c>
      <c r="C278" t="s">
        <v>13</v>
      </c>
      <c r="D278" t="s">
        <v>14</v>
      </c>
      <c r="E278" t="s">
        <v>72</v>
      </c>
      <c r="F278" t="s">
        <v>838</v>
      </c>
      <c r="G278" t="s">
        <v>839</v>
      </c>
      <c r="H278" t="s">
        <v>840</v>
      </c>
      <c r="I278">
        <v>23.48</v>
      </c>
      <c r="J278">
        <v>4.6900000000000004</v>
      </c>
      <c r="K278">
        <v>5</v>
      </c>
      <c r="L278">
        <v>1</v>
      </c>
    </row>
    <row r="279" spans="1:12" x14ac:dyDescent="0.35">
      <c r="A279">
        <v>278</v>
      </c>
      <c r="B279" t="s">
        <v>22</v>
      </c>
      <c r="C279" t="s">
        <v>13</v>
      </c>
      <c r="D279" t="s">
        <v>31</v>
      </c>
      <c r="E279" t="s">
        <v>27</v>
      </c>
      <c r="F279" t="s">
        <v>841</v>
      </c>
      <c r="G279" t="s">
        <v>842</v>
      </c>
      <c r="H279" t="s">
        <v>843</v>
      </c>
      <c r="I279">
        <v>10.24</v>
      </c>
      <c r="J279">
        <v>5.64</v>
      </c>
      <c r="K279">
        <v>5</v>
      </c>
      <c r="L279">
        <v>3</v>
      </c>
    </row>
    <row r="280" spans="1:12" x14ac:dyDescent="0.35">
      <c r="A280">
        <v>279</v>
      </c>
      <c r="B280" t="s">
        <v>22</v>
      </c>
      <c r="C280" t="s">
        <v>13</v>
      </c>
      <c r="D280" t="s">
        <v>31</v>
      </c>
      <c r="E280" t="s">
        <v>27</v>
      </c>
      <c r="F280" t="s">
        <v>844</v>
      </c>
      <c r="G280" t="s">
        <v>845</v>
      </c>
      <c r="H280" t="s">
        <v>846</v>
      </c>
      <c r="I280">
        <v>27.28</v>
      </c>
      <c r="J280">
        <v>7.88</v>
      </c>
      <c r="K280">
        <v>4</v>
      </c>
      <c r="L280">
        <v>1</v>
      </c>
    </row>
    <row r="281" spans="1:12" x14ac:dyDescent="0.35">
      <c r="A281">
        <v>280</v>
      </c>
      <c r="B281" t="s">
        <v>22</v>
      </c>
      <c r="C281" t="s">
        <v>13</v>
      </c>
      <c r="D281" t="s">
        <v>31</v>
      </c>
      <c r="E281" t="s">
        <v>27</v>
      </c>
      <c r="F281" t="s">
        <v>847</v>
      </c>
      <c r="G281" t="s">
        <v>848</v>
      </c>
      <c r="H281" t="s">
        <v>849</v>
      </c>
      <c r="I281">
        <v>36.15</v>
      </c>
      <c r="J281">
        <v>8.1999999999999993</v>
      </c>
      <c r="K281">
        <v>5</v>
      </c>
      <c r="L281">
        <v>1</v>
      </c>
    </row>
    <row r="282" spans="1:12" x14ac:dyDescent="0.35">
      <c r="A282">
        <v>281</v>
      </c>
      <c r="B282" t="s">
        <v>12</v>
      </c>
      <c r="C282" t="s">
        <v>13</v>
      </c>
      <c r="D282" t="s">
        <v>14</v>
      </c>
      <c r="E282" t="s">
        <v>15</v>
      </c>
      <c r="F282" t="s">
        <v>850</v>
      </c>
      <c r="G282" t="s">
        <v>851</v>
      </c>
      <c r="H282" t="s">
        <v>852</v>
      </c>
      <c r="I282">
        <v>7.81</v>
      </c>
      <c r="J282">
        <v>3.28</v>
      </c>
      <c r="K282">
        <v>4</v>
      </c>
      <c r="L282">
        <v>2</v>
      </c>
    </row>
    <row r="283" spans="1:12" x14ac:dyDescent="0.35">
      <c r="A283">
        <v>282</v>
      </c>
      <c r="B283" t="s">
        <v>12</v>
      </c>
      <c r="C283" t="s">
        <v>13</v>
      </c>
      <c r="D283" t="s">
        <v>31</v>
      </c>
      <c r="E283" t="s">
        <v>27</v>
      </c>
      <c r="F283" t="s">
        <v>853</v>
      </c>
      <c r="G283" t="s">
        <v>854</v>
      </c>
      <c r="H283" t="s">
        <v>208</v>
      </c>
      <c r="I283">
        <v>5.35</v>
      </c>
      <c r="J283">
        <v>5.67</v>
      </c>
      <c r="K283">
        <v>3</v>
      </c>
      <c r="L283">
        <v>2</v>
      </c>
    </row>
    <row r="284" spans="1:12" x14ac:dyDescent="0.35">
      <c r="A284">
        <v>283</v>
      </c>
      <c r="B284" t="s">
        <v>26</v>
      </c>
      <c r="C284" t="s">
        <v>13</v>
      </c>
      <c r="D284" t="s">
        <v>14</v>
      </c>
      <c r="E284" t="s">
        <v>72</v>
      </c>
      <c r="F284" t="s">
        <v>855</v>
      </c>
      <c r="G284" t="s">
        <v>856</v>
      </c>
      <c r="H284" t="s">
        <v>857</v>
      </c>
      <c r="I284">
        <v>7.76</v>
      </c>
      <c r="J284">
        <v>3.29</v>
      </c>
      <c r="K284">
        <v>4</v>
      </c>
      <c r="L284">
        <v>2</v>
      </c>
    </row>
    <row r="285" spans="1:12" x14ac:dyDescent="0.35">
      <c r="A285">
        <v>284</v>
      </c>
      <c r="B285" t="s">
        <v>22</v>
      </c>
      <c r="C285" t="s">
        <v>13</v>
      </c>
      <c r="D285" t="s">
        <v>31</v>
      </c>
      <c r="E285" t="s">
        <v>72</v>
      </c>
      <c r="F285" t="s">
        <v>858</v>
      </c>
      <c r="G285" t="s">
        <v>859</v>
      </c>
      <c r="H285" t="s">
        <v>860</v>
      </c>
      <c r="I285">
        <v>10.29</v>
      </c>
      <c r="J285">
        <v>5.27</v>
      </c>
      <c r="K285">
        <v>7</v>
      </c>
      <c r="L285">
        <v>3</v>
      </c>
    </row>
    <row r="286" spans="1:12" x14ac:dyDescent="0.35">
      <c r="A286">
        <v>285</v>
      </c>
      <c r="B286" t="s">
        <v>12</v>
      </c>
      <c r="C286" t="s">
        <v>13</v>
      </c>
      <c r="D286" t="s">
        <v>31</v>
      </c>
      <c r="E286" t="s">
        <v>27</v>
      </c>
      <c r="F286" t="s">
        <v>861</v>
      </c>
      <c r="G286" t="s">
        <v>862</v>
      </c>
      <c r="H286" t="s">
        <v>863</v>
      </c>
      <c r="I286">
        <v>17.260000000000002</v>
      </c>
      <c r="J286">
        <v>6.7</v>
      </c>
      <c r="K286">
        <v>8</v>
      </c>
      <c r="L286">
        <v>3</v>
      </c>
    </row>
    <row r="287" spans="1:12" x14ac:dyDescent="0.35">
      <c r="A287">
        <v>286</v>
      </c>
      <c r="B287" t="s">
        <v>22</v>
      </c>
      <c r="C287" t="s">
        <v>13</v>
      </c>
      <c r="D287" t="s">
        <v>31</v>
      </c>
      <c r="E287" t="s">
        <v>15</v>
      </c>
      <c r="F287" t="s">
        <v>864</v>
      </c>
      <c r="G287" t="s">
        <v>865</v>
      </c>
      <c r="H287" t="s">
        <v>154</v>
      </c>
      <c r="I287">
        <v>44.06</v>
      </c>
      <c r="J287">
        <v>5.7</v>
      </c>
      <c r="K287">
        <v>7</v>
      </c>
      <c r="L287">
        <v>1</v>
      </c>
    </row>
    <row r="288" spans="1:12" x14ac:dyDescent="0.35">
      <c r="A288">
        <v>287</v>
      </c>
      <c r="B288" t="s">
        <v>22</v>
      </c>
      <c r="C288" t="s">
        <v>13</v>
      </c>
      <c r="D288" t="s">
        <v>31</v>
      </c>
      <c r="E288" t="s">
        <v>72</v>
      </c>
      <c r="F288" t="s">
        <v>866</v>
      </c>
      <c r="G288" t="s">
        <v>867</v>
      </c>
      <c r="H288" t="s">
        <v>868</v>
      </c>
      <c r="I288">
        <v>9.86</v>
      </c>
      <c r="J288">
        <v>5.42</v>
      </c>
      <c r="K288">
        <v>4</v>
      </c>
      <c r="L288">
        <v>2</v>
      </c>
    </row>
    <row r="289" spans="1:12" x14ac:dyDescent="0.35">
      <c r="A289">
        <v>288</v>
      </c>
      <c r="B289" t="s">
        <v>26</v>
      </c>
      <c r="C289" t="s">
        <v>13</v>
      </c>
      <c r="D289" t="s">
        <v>14</v>
      </c>
      <c r="E289" t="s">
        <v>15</v>
      </c>
      <c r="F289" t="s">
        <v>869</v>
      </c>
      <c r="G289" t="s">
        <v>870</v>
      </c>
      <c r="H289" t="s">
        <v>871</v>
      </c>
      <c r="I289">
        <v>10.44</v>
      </c>
      <c r="J289">
        <v>3.73</v>
      </c>
      <c r="K289">
        <v>4</v>
      </c>
      <c r="L289">
        <v>2</v>
      </c>
    </row>
    <row r="290" spans="1:12" x14ac:dyDescent="0.35">
      <c r="A290">
        <v>289</v>
      </c>
      <c r="B290" t="s">
        <v>26</v>
      </c>
      <c r="C290" t="s">
        <v>13</v>
      </c>
      <c r="D290" t="s">
        <v>31</v>
      </c>
      <c r="E290" t="s">
        <v>27</v>
      </c>
      <c r="F290" t="s">
        <v>182</v>
      </c>
      <c r="G290" t="s">
        <v>872</v>
      </c>
      <c r="H290" t="s">
        <v>873</v>
      </c>
      <c r="I290">
        <v>10.79</v>
      </c>
      <c r="J290">
        <v>6.43</v>
      </c>
      <c r="K290">
        <v>5</v>
      </c>
      <c r="L290">
        <v>3</v>
      </c>
    </row>
    <row r="291" spans="1:12" x14ac:dyDescent="0.35">
      <c r="A291">
        <v>290</v>
      </c>
      <c r="B291" t="s">
        <v>12</v>
      </c>
      <c r="C291" t="s">
        <v>13</v>
      </c>
      <c r="D291" t="s">
        <v>31</v>
      </c>
      <c r="E291" t="s">
        <v>27</v>
      </c>
      <c r="F291" t="s">
        <v>874</v>
      </c>
      <c r="G291" t="s">
        <v>875</v>
      </c>
      <c r="H291" t="s">
        <v>876</v>
      </c>
      <c r="I291">
        <v>14.87</v>
      </c>
      <c r="J291">
        <v>6.39</v>
      </c>
      <c r="K291">
        <v>7</v>
      </c>
      <c r="L291">
        <v>3</v>
      </c>
    </row>
    <row r="292" spans="1:12" x14ac:dyDescent="0.35">
      <c r="A292">
        <v>291</v>
      </c>
      <c r="B292" t="s">
        <v>22</v>
      </c>
      <c r="C292" t="s">
        <v>13</v>
      </c>
      <c r="D292" t="s">
        <v>14</v>
      </c>
      <c r="E292" t="s">
        <v>27</v>
      </c>
      <c r="F292" t="s">
        <v>877</v>
      </c>
      <c r="G292" t="s">
        <v>878</v>
      </c>
      <c r="H292" t="s">
        <v>879</v>
      </c>
      <c r="I292">
        <v>3.4</v>
      </c>
      <c r="J292">
        <v>7.09</v>
      </c>
      <c r="K292">
        <v>1</v>
      </c>
      <c r="L292">
        <v>3</v>
      </c>
    </row>
    <row r="293" spans="1:12" x14ac:dyDescent="0.35">
      <c r="A293">
        <v>292</v>
      </c>
      <c r="B293" t="s">
        <v>22</v>
      </c>
      <c r="C293" t="s">
        <v>13</v>
      </c>
      <c r="D293" t="s">
        <v>31</v>
      </c>
      <c r="E293" t="s">
        <v>72</v>
      </c>
      <c r="F293" t="s">
        <v>880</v>
      </c>
      <c r="G293" t="s">
        <v>881</v>
      </c>
      <c r="H293" t="s">
        <v>882</v>
      </c>
      <c r="I293">
        <v>15.01</v>
      </c>
      <c r="J293">
        <v>5.28</v>
      </c>
      <c r="K293">
        <v>8</v>
      </c>
      <c r="L293">
        <v>3</v>
      </c>
    </row>
    <row r="294" spans="1:12" x14ac:dyDescent="0.35">
      <c r="A294">
        <v>293</v>
      </c>
      <c r="B294" t="s">
        <v>22</v>
      </c>
      <c r="C294" t="s">
        <v>13</v>
      </c>
      <c r="D294" t="s">
        <v>31</v>
      </c>
      <c r="E294" t="s">
        <v>15</v>
      </c>
      <c r="F294" t="s">
        <v>883</v>
      </c>
      <c r="G294" t="s">
        <v>884</v>
      </c>
      <c r="H294" t="s">
        <v>885</v>
      </c>
      <c r="I294">
        <v>17.95</v>
      </c>
      <c r="J294">
        <v>7.66</v>
      </c>
      <c r="K294">
        <v>6</v>
      </c>
      <c r="L294">
        <v>2</v>
      </c>
    </row>
    <row r="295" spans="1:12" x14ac:dyDescent="0.35">
      <c r="A295">
        <v>294</v>
      </c>
      <c r="B295" t="s">
        <v>22</v>
      </c>
      <c r="C295" t="s">
        <v>13</v>
      </c>
      <c r="D295" t="s">
        <v>31</v>
      </c>
      <c r="E295" t="s">
        <v>72</v>
      </c>
      <c r="F295" t="s">
        <v>886</v>
      </c>
      <c r="G295" t="s">
        <v>887</v>
      </c>
      <c r="H295" t="s">
        <v>888</v>
      </c>
      <c r="I295">
        <v>42.09</v>
      </c>
      <c r="J295">
        <v>4.9800000000000004</v>
      </c>
      <c r="K295">
        <v>8</v>
      </c>
      <c r="L295">
        <v>1</v>
      </c>
    </row>
    <row r="296" spans="1:12" x14ac:dyDescent="0.35">
      <c r="A296">
        <v>295</v>
      </c>
      <c r="B296" t="s">
        <v>22</v>
      </c>
      <c r="C296" t="s">
        <v>13</v>
      </c>
      <c r="D296" t="s">
        <v>14</v>
      </c>
      <c r="E296" t="s">
        <v>72</v>
      </c>
      <c r="F296" t="s">
        <v>889</v>
      </c>
      <c r="G296" t="s">
        <v>890</v>
      </c>
      <c r="H296" t="s">
        <v>891</v>
      </c>
      <c r="I296">
        <v>8.51</v>
      </c>
      <c r="J296">
        <v>5.0999999999999996</v>
      </c>
      <c r="K296">
        <v>6</v>
      </c>
      <c r="L296">
        <v>3</v>
      </c>
    </row>
    <row r="297" spans="1:12" x14ac:dyDescent="0.35">
      <c r="A297">
        <v>296</v>
      </c>
      <c r="B297" t="s">
        <v>12</v>
      </c>
      <c r="C297" t="s">
        <v>13</v>
      </c>
      <c r="D297" t="s">
        <v>14</v>
      </c>
      <c r="E297" t="s">
        <v>72</v>
      </c>
      <c r="F297" t="s">
        <v>892</v>
      </c>
      <c r="G297" t="s">
        <v>893</v>
      </c>
      <c r="H297" t="s">
        <v>894</v>
      </c>
      <c r="I297">
        <v>1.23</v>
      </c>
      <c r="J297">
        <v>2.5</v>
      </c>
      <c r="K297">
        <v>1</v>
      </c>
      <c r="L297">
        <v>3</v>
      </c>
    </row>
    <row r="298" spans="1:12" x14ac:dyDescent="0.35">
      <c r="A298">
        <v>297</v>
      </c>
      <c r="B298" t="s">
        <v>38</v>
      </c>
      <c r="C298" t="s">
        <v>13</v>
      </c>
      <c r="D298" t="s">
        <v>14</v>
      </c>
      <c r="E298" t="s">
        <v>15</v>
      </c>
      <c r="F298" t="s">
        <v>895</v>
      </c>
      <c r="G298" t="s">
        <v>896</v>
      </c>
      <c r="H298" t="s">
        <v>897</v>
      </c>
      <c r="I298">
        <v>29.57</v>
      </c>
      <c r="J298">
        <v>4.84</v>
      </c>
      <c r="K298">
        <v>4</v>
      </c>
      <c r="L298">
        <v>1</v>
      </c>
    </row>
    <row r="299" spans="1:12" x14ac:dyDescent="0.35">
      <c r="A299">
        <v>298</v>
      </c>
      <c r="B299" t="s">
        <v>26</v>
      </c>
      <c r="C299" t="s">
        <v>13</v>
      </c>
      <c r="D299" t="s">
        <v>31</v>
      </c>
      <c r="E299" t="s">
        <v>15</v>
      </c>
      <c r="F299" t="s">
        <v>898</v>
      </c>
      <c r="G299" t="s">
        <v>899</v>
      </c>
      <c r="H299" t="s">
        <v>900</v>
      </c>
      <c r="I299">
        <v>6.33</v>
      </c>
      <c r="J299">
        <v>5.48</v>
      </c>
      <c r="K299">
        <v>3</v>
      </c>
      <c r="L299">
        <v>3</v>
      </c>
    </row>
    <row r="300" spans="1:12" x14ac:dyDescent="0.35">
      <c r="A300">
        <v>299</v>
      </c>
      <c r="B300" t="s">
        <v>26</v>
      </c>
      <c r="C300" t="s">
        <v>13</v>
      </c>
      <c r="D300" t="s">
        <v>31</v>
      </c>
      <c r="E300" t="s">
        <v>27</v>
      </c>
      <c r="F300" t="s">
        <v>901</v>
      </c>
      <c r="G300" t="s">
        <v>902</v>
      </c>
      <c r="H300" t="s">
        <v>903</v>
      </c>
      <c r="I300">
        <v>50.93</v>
      </c>
      <c r="J300">
        <v>6.83</v>
      </c>
      <c r="K300">
        <v>8</v>
      </c>
      <c r="L300">
        <v>1</v>
      </c>
    </row>
    <row r="301" spans="1:12" x14ac:dyDescent="0.35">
      <c r="A301">
        <v>300</v>
      </c>
      <c r="B301" t="s">
        <v>26</v>
      </c>
      <c r="C301" t="s">
        <v>13</v>
      </c>
      <c r="D301" t="s">
        <v>31</v>
      </c>
      <c r="E301" t="s">
        <v>27</v>
      </c>
      <c r="F301" t="s">
        <v>904</v>
      </c>
      <c r="G301" t="s">
        <v>905</v>
      </c>
      <c r="H301" t="s">
        <v>906</v>
      </c>
      <c r="I301">
        <v>5.63</v>
      </c>
      <c r="J301">
        <v>5.5</v>
      </c>
      <c r="K301">
        <v>2</v>
      </c>
      <c r="L301">
        <v>3</v>
      </c>
    </row>
    <row r="302" spans="1:12" x14ac:dyDescent="0.35">
      <c r="A302">
        <v>301</v>
      </c>
      <c r="B302" t="s">
        <v>22</v>
      </c>
      <c r="C302" t="s">
        <v>13</v>
      </c>
      <c r="D302" t="s">
        <v>31</v>
      </c>
      <c r="E302" t="s">
        <v>15</v>
      </c>
      <c r="F302" t="s">
        <v>907</v>
      </c>
      <c r="G302" t="s">
        <v>908</v>
      </c>
      <c r="H302" t="s">
        <v>909</v>
      </c>
      <c r="I302">
        <v>10.8</v>
      </c>
      <c r="J302">
        <v>4.8600000000000003</v>
      </c>
      <c r="K302">
        <v>3</v>
      </c>
      <c r="L302">
        <v>2</v>
      </c>
    </row>
    <row r="303" spans="1:12" x14ac:dyDescent="0.35">
      <c r="A303">
        <v>302</v>
      </c>
      <c r="B303" t="s">
        <v>26</v>
      </c>
      <c r="C303" t="s">
        <v>13</v>
      </c>
      <c r="D303" t="s">
        <v>14</v>
      </c>
      <c r="E303" t="s">
        <v>27</v>
      </c>
      <c r="F303" t="s">
        <v>910</v>
      </c>
      <c r="G303" t="s">
        <v>911</v>
      </c>
      <c r="H303" t="s">
        <v>912</v>
      </c>
      <c r="I303">
        <v>13.2</v>
      </c>
      <c r="J303">
        <v>4.37</v>
      </c>
      <c r="K303">
        <v>6</v>
      </c>
      <c r="L303">
        <v>2</v>
      </c>
    </row>
    <row r="304" spans="1:12" x14ac:dyDescent="0.35">
      <c r="A304">
        <v>303</v>
      </c>
      <c r="B304" t="s">
        <v>12</v>
      </c>
      <c r="C304" t="s">
        <v>13</v>
      </c>
      <c r="D304" t="s">
        <v>31</v>
      </c>
      <c r="E304" t="s">
        <v>27</v>
      </c>
      <c r="F304" t="s">
        <v>913</v>
      </c>
      <c r="G304" t="s">
        <v>914</v>
      </c>
      <c r="H304" t="s">
        <v>915</v>
      </c>
      <c r="I304">
        <v>13.43</v>
      </c>
      <c r="J304">
        <v>5.35</v>
      </c>
      <c r="K304">
        <v>2</v>
      </c>
      <c r="L304">
        <v>1</v>
      </c>
    </row>
    <row r="305" spans="1:12" x14ac:dyDescent="0.35">
      <c r="A305">
        <v>304</v>
      </c>
      <c r="B305" t="s">
        <v>38</v>
      </c>
      <c r="C305" t="s">
        <v>13</v>
      </c>
      <c r="D305" t="s">
        <v>31</v>
      </c>
      <c r="E305" t="s">
        <v>15</v>
      </c>
      <c r="F305" t="s">
        <v>916</v>
      </c>
      <c r="G305" t="s">
        <v>917</v>
      </c>
      <c r="H305" t="s">
        <v>918</v>
      </c>
      <c r="I305">
        <v>89.14</v>
      </c>
      <c r="J305">
        <v>8.65</v>
      </c>
      <c r="K305">
        <v>10</v>
      </c>
      <c r="L305">
        <v>1</v>
      </c>
    </row>
    <row r="306" spans="1:12" x14ac:dyDescent="0.35">
      <c r="A306">
        <v>305</v>
      </c>
      <c r="B306" t="s">
        <v>38</v>
      </c>
      <c r="C306" t="s">
        <v>13</v>
      </c>
      <c r="D306" t="s">
        <v>31</v>
      </c>
      <c r="E306" t="s">
        <v>72</v>
      </c>
      <c r="F306" t="s">
        <v>919</v>
      </c>
      <c r="G306" t="s">
        <v>920</v>
      </c>
      <c r="H306" t="s">
        <v>921</v>
      </c>
      <c r="I306">
        <v>44.38</v>
      </c>
      <c r="J306">
        <v>7.72</v>
      </c>
      <c r="K306">
        <v>11</v>
      </c>
      <c r="L306">
        <v>2</v>
      </c>
    </row>
    <row r="307" spans="1:12" x14ac:dyDescent="0.35">
      <c r="A307">
        <v>306</v>
      </c>
      <c r="B307" t="s">
        <v>26</v>
      </c>
      <c r="C307" t="s">
        <v>13</v>
      </c>
      <c r="D307" t="s">
        <v>31</v>
      </c>
      <c r="E307" t="s">
        <v>27</v>
      </c>
      <c r="F307" t="s">
        <v>922</v>
      </c>
      <c r="G307" t="s">
        <v>923</v>
      </c>
      <c r="H307" t="s">
        <v>924</v>
      </c>
      <c r="I307">
        <v>4.99</v>
      </c>
      <c r="J307">
        <v>8.33</v>
      </c>
      <c r="K307">
        <v>3</v>
      </c>
      <c r="L307">
        <v>3</v>
      </c>
    </row>
    <row r="308" spans="1:12" x14ac:dyDescent="0.35">
      <c r="A308">
        <v>307</v>
      </c>
      <c r="B308" t="s">
        <v>26</v>
      </c>
      <c r="C308" t="s">
        <v>13</v>
      </c>
      <c r="D308" t="s">
        <v>14</v>
      </c>
      <c r="E308" t="s">
        <v>72</v>
      </c>
      <c r="F308" t="s">
        <v>925</v>
      </c>
      <c r="G308" t="s">
        <v>926</v>
      </c>
      <c r="H308" t="s">
        <v>927</v>
      </c>
      <c r="I308">
        <v>9.0399999999999991</v>
      </c>
      <c r="J308">
        <v>4.01</v>
      </c>
      <c r="K308">
        <v>3</v>
      </c>
      <c r="L308">
        <v>2</v>
      </c>
    </row>
    <row r="309" spans="1:12" x14ac:dyDescent="0.35">
      <c r="A309">
        <v>308</v>
      </c>
      <c r="B309" t="s">
        <v>26</v>
      </c>
      <c r="C309" t="s">
        <v>13</v>
      </c>
      <c r="D309" t="s">
        <v>31</v>
      </c>
      <c r="E309" t="s">
        <v>27</v>
      </c>
      <c r="F309" t="s">
        <v>928</v>
      </c>
      <c r="G309" t="s">
        <v>929</v>
      </c>
      <c r="H309" t="s">
        <v>930</v>
      </c>
      <c r="I309">
        <v>13.46</v>
      </c>
      <c r="J309">
        <v>5.97</v>
      </c>
      <c r="K309">
        <v>5</v>
      </c>
      <c r="L309">
        <v>2</v>
      </c>
    </row>
    <row r="310" spans="1:12" x14ac:dyDescent="0.35">
      <c r="A310">
        <v>309</v>
      </c>
      <c r="B310" t="s">
        <v>22</v>
      </c>
      <c r="C310" t="s">
        <v>13</v>
      </c>
      <c r="D310" t="s">
        <v>31</v>
      </c>
      <c r="E310" t="s">
        <v>15</v>
      </c>
      <c r="F310" t="s">
        <v>931</v>
      </c>
      <c r="G310" t="s">
        <v>932</v>
      </c>
      <c r="H310" t="s">
        <v>933</v>
      </c>
      <c r="I310">
        <v>19.34</v>
      </c>
      <c r="J310">
        <v>6.67</v>
      </c>
      <c r="K310">
        <v>7</v>
      </c>
      <c r="L310">
        <v>2</v>
      </c>
    </row>
    <row r="311" spans="1:12" x14ac:dyDescent="0.35">
      <c r="A311">
        <v>310</v>
      </c>
      <c r="B311" t="s">
        <v>12</v>
      </c>
      <c r="C311" t="s">
        <v>13</v>
      </c>
      <c r="D311" t="s">
        <v>31</v>
      </c>
      <c r="E311" t="s">
        <v>72</v>
      </c>
      <c r="F311" t="s">
        <v>934</v>
      </c>
      <c r="G311" t="s">
        <v>935</v>
      </c>
      <c r="H311" t="s">
        <v>936</v>
      </c>
      <c r="I311">
        <v>6.94</v>
      </c>
      <c r="J311">
        <v>4.22</v>
      </c>
      <c r="K311">
        <v>3</v>
      </c>
      <c r="L311">
        <v>2</v>
      </c>
    </row>
    <row r="312" spans="1:12" x14ac:dyDescent="0.35">
      <c r="A312">
        <v>311</v>
      </c>
      <c r="B312" t="s">
        <v>12</v>
      </c>
      <c r="C312" t="s">
        <v>13</v>
      </c>
      <c r="D312" t="s">
        <v>31</v>
      </c>
      <c r="E312" t="s">
        <v>15</v>
      </c>
      <c r="F312" t="s">
        <v>937</v>
      </c>
      <c r="G312" t="s">
        <v>938</v>
      </c>
      <c r="H312" t="s">
        <v>939</v>
      </c>
      <c r="I312">
        <v>10.64</v>
      </c>
      <c r="J312">
        <v>5.3</v>
      </c>
      <c r="K312">
        <v>5</v>
      </c>
      <c r="L312">
        <v>2</v>
      </c>
    </row>
    <row r="313" spans="1:12" x14ac:dyDescent="0.35">
      <c r="A313">
        <v>312</v>
      </c>
      <c r="B313" t="s">
        <v>12</v>
      </c>
      <c r="C313" t="s">
        <v>13</v>
      </c>
      <c r="D313" t="s">
        <v>14</v>
      </c>
      <c r="E313" t="s">
        <v>72</v>
      </c>
      <c r="F313" t="s">
        <v>940</v>
      </c>
      <c r="G313" t="s">
        <v>941</v>
      </c>
      <c r="H313" t="s">
        <v>942</v>
      </c>
      <c r="I313">
        <v>3.37</v>
      </c>
      <c r="J313">
        <v>4.0999999999999996</v>
      </c>
      <c r="K313">
        <v>3</v>
      </c>
      <c r="L313">
        <v>2</v>
      </c>
    </row>
    <row r="314" spans="1:12" x14ac:dyDescent="0.35">
      <c r="A314">
        <v>313</v>
      </c>
      <c r="B314" t="s">
        <v>38</v>
      </c>
      <c r="C314" t="s">
        <v>13</v>
      </c>
      <c r="D314" t="s">
        <v>14</v>
      </c>
      <c r="E314" t="s">
        <v>72</v>
      </c>
      <c r="F314" t="s">
        <v>943</v>
      </c>
      <c r="G314" t="s">
        <v>944</v>
      </c>
      <c r="H314" t="s">
        <v>945</v>
      </c>
      <c r="I314">
        <v>35.65</v>
      </c>
      <c r="J314">
        <v>6.25</v>
      </c>
      <c r="K314">
        <v>5</v>
      </c>
      <c r="L314">
        <v>1</v>
      </c>
    </row>
    <row r="315" spans="1:12" x14ac:dyDescent="0.35">
      <c r="A315">
        <v>314</v>
      </c>
      <c r="B315" t="s">
        <v>12</v>
      </c>
      <c r="C315" t="s">
        <v>13</v>
      </c>
      <c r="D315" t="s">
        <v>14</v>
      </c>
      <c r="E315" t="s">
        <v>15</v>
      </c>
      <c r="F315" t="s">
        <v>946</v>
      </c>
      <c r="G315" t="s">
        <v>947</v>
      </c>
      <c r="H315" t="s">
        <v>948</v>
      </c>
      <c r="I315">
        <v>0.67</v>
      </c>
      <c r="J315">
        <v>2.42</v>
      </c>
      <c r="K315">
        <v>2</v>
      </c>
      <c r="L315">
        <v>3</v>
      </c>
    </row>
    <row r="316" spans="1:12" x14ac:dyDescent="0.35">
      <c r="A316">
        <v>315</v>
      </c>
      <c r="B316" t="s">
        <v>26</v>
      </c>
      <c r="C316" t="s">
        <v>13</v>
      </c>
      <c r="D316" t="s">
        <v>14</v>
      </c>
      <c r="E316" t="s">
        <v>15</v>
      </c>
      <c r="F316" t="s">
        <v>880</v>
      </c>
      <c r="G316" t="s">
        <v>949</v>
      </c>
      <c r="H316" t="s">
        <v>950</v>
      </c>
      <c r="I316">
        <v>10.45</v>
      </c>
      <c r="J316">
        <v>5.33</v>
      </c>
      <c r="K316">
        <v>8</v>
      </c>
      <c r="L316">
        <v>3</v>
      </c>
    </row>
    <row r="317" spans="1:12" x14ac:dyDescent="0.35">
      <c r="A317">
        <v>316</v>
      </c>
      <c r="B317" t="s">
        <v>38</v>
      </c>
      <c r="C317" t="s">
        <v>13</v>
      </c>
      <c r="D317" t="s">
        <v>14</v>
      </c>
      <c r="E317" t="s">
        <v>27</v>
      </c>
      <c r="F317" t="s">
        <v>951</v>
      </c>
      <c r="G317" t="s">
        <v>952</v>
      </c>
      <c r="H317" t="s">
        <v>953</v>
      </c>
      <c r="I317">
        <v>13.47</v>
      </c>
      <c r="J317">
        <v>9.14</v>
      </c>
      <c r="K317">
        <v>5</v>
      </c>
      <c r="L317">
        <v>3</v>
      </c>
    </row>
    <row r="318" spans="1:12" x14ac:dyDescent="0.35">
      <c r="A318">
        <v>317</v>
      </c>
      <c r="B318" t="s">
        <v>26</v>
      </c>
      <c r="C318" t="s">
        <v>13</v>
      </c>
      <c r="D318" t="s">
        <v>31</v>
      </c>
      <c r="E318" t="s">
        <v>27</v>
      </c>
      <c r="F318" t="s">
        <v>954</v>
      </c>
      <c r="G318" t="s">
        <v>955</v>
      </c>
      <c r="H318" t="s">
        <v>956</v>
      </c>
      <c r="I318">
        <v>22.69</v>
      </c>
      <c r="J318">
        <v>7.75</v>
      </c>
      <c r="K318">
        <v>11</v>
      </c>
      <c r="L318">
        <v>3</v>
      </c>
    </row>
    <row r="319" spans="1:12" x14ac:dyDescent="0.35">
      <c r="A319">
        <v>318</v>
      </c>
      <c r="B319" t="s">
        <v>12</v>
      </c>
      <c r="C319" t="s">
        <v>13</v>
      </c>
      <c r="D319" t="s">
        <v>31</v>
      </c>
      <c r="E319" t="s">
        <v>15</v>
      </c>
      <c r="F319" t="s">
        <v>957</v>
      </c>
      <c r="G319" t="s">
        <v>526</v>
      </c>
      <c r="H319" t="s">
        <v>958</v>
      </c>
      <c r="I319">
        <v>5.89</v>
      </c>
      <c r="J319">
        <v>5.27</v>
      </c>
      <c r="K319">
        <v>4</v>
      </c>
      <c r="L319">
        <v>3</v>
      </c>
    </row>
    <row r="320" spans="1:12" x14ac:dyDescent="0.35">
      <c r="A320">
        <v>319</v>
      </c>
      <c r="B320" t="s">
        <v>12</v>
      </c>
      <c r="C320" t="s">
        <v>13</v>
      </c>
      <c r="D320" t="s">
        <v>31</v>
      </c>
      <c r="E320" t="s">
        <v>27</v>
      </c>
      <c r="F320" t="s">
        <v>959</v>
      </c>
      <c r="G320" t="s">
        <v>960</v>
      </c>
      <c r="H320" t="s">
        <v>961</v>
      </c>
      <c r="I320">
        <v>7.36</v>
      </c>
      <c r="J320">
        <v>5.09</v>
      </c>
      <c r="K320">
        <v>3</v>
      </c>
      <c r="L320">
        <v>3</v>
      </c>
    </row>
    <row r="321" spans="1:12" x14ac:dyDescent="0.35">
      <c r="A321">
        <v>320</v>
      </c>
      <c r="B321" t="s">
        <v>26</v>
      </c>
      <c r="C321" t="s">
        <v>13</v>
      </c>
      <c r="D321" t="s">
        <v>14</v>
      </c>
      <c r="E321" t="s">
        <v>15</v>
      </c>
      <c r="F321" t="s">
        <v>962</v>
      </c>
      <c r="G321" t="s">
        <v>963</v>
      </c>
      <c r="H321" t="s">
        <v>964</v>
      </c>
      <c r="I321">
        <v>9.8699999999999992</v>
      </c>
      <c r="J321">
        <v>2.93</v>
      </c>
      <c r="K321">
        <v>7</v>
      </c>
      <c r="L321">
        <v>3</v>
      </c>
    </row>
    <row r="322" spans="1:12" x14ac:dyDescent="0.35">
      <c r="A322">
        <v>321</v>
      </c>
      <c r="B322" t="s">
        <v>22</v>
      </c>
      <c r="C322" t="s">
        <v>13</v>
      </c>
      <c r="D322" t="s">
        <v>14</v>
      </c>
      <c r="E322" t="s">
        <v>15</v>
      </c>
      <c r="F322" t="s">
        <v>965</v>
      </c>
      <c r="G322" t="s">
        <v>966</v>
      </c>
      <c r="H322" t="s">
        <v>967</v>
      </c>
      <c r="I322">
        <v>3.62</v>
      </c>
      <c r="J322">
        <v>2.62</v>
      </c>
      <c r="K322">
        <v>1</v>
      </c>
      <c r="L322">
        <v>2</v>
      </c>
    </row>
    <row r="323" spans="1:12" x14ac:dyDescent="0.35">
      <c r="A323">
        <v>322</v>
      </c>
      <c r="B323" t="s">
        <v>38</v>
      </c>
      <c r="C323" t="s">
        <v>13</v>
      </c>
      <c r="D323" t="s">
        <v>31</v>
      </c>
      <c r="E323" t="s">
        <v>72</v>
      </c>
      <c r="F323" t="s">
        <v>968</v>
      </c>
      <c r="G323" t="s">
        <v>969</v>
      </c>
      <c r="H323" t="s">
        <v>970</v>
      </c>
      <c r="I323">
        <v>21.33</v>
      </c>
      <c r="J323">
        <v>8.6199999999999992</v>
      </c>
      <c r="K323">
        <v>5</v>
      </c>
      <c r="L323">
        <v>2</v>
      </c>
    </row>
    <row r="324" spans="1:12" x14ac:dyDescent="0.35">
      <c r="A324">
        <v>323</v>
      </c>
      <c r="B324" t="s">
        <v>26</v>
      </c>
      <c r="C324" t="s">
        <v>13</v>
      </c>
      <c r="D324" t="s">
        <v>14</v>
      </c>
      <c r="E324" t="s">
        <v>15</v>
      </c>
      <c r="F324" t="s">
        <v>971</v>
      </c>
      <c r="G324" t="s">
        <v>972</v>
      </c>
      <c r="H324" t="s">
        <v>973</v>
      </c>
      <c r="I324">
        <v>10.38</v>
      </c>
      <c r="J324">
        <v>4.3499999999999996</v>
      </c>
      <c r="K324">
        <v>6</v>
      </c>
      <c r="L324">
        <v>3</v>
      </c>
    </row>
    <row r="325" spans="1:12" x14ac:dyDescent="0.35">
      <c r="A325">
        <v>324</v>
      </c>
      <c r="B325" t="s">
        <v>38</v>
      </c>
      <c r="C325" t="s">
        <v>13</v>
      </c>
      <c r="D325" t="s">
        <v>31</v>
      </c>
      <c r="E325" t="s">
        <v>15</v>
      </c>
      <c r="F325" t="s">
        <v>974</v>
      </c>
      <c r="G325" t="s">
        <v>975</v>
      </c>
      <c r="H325" t="s">
        <v>976</v>
      </c>
      <c r="I325">
        <v>59.28</v>
      </c>
      <c r="J325">
        <v>7.47</v>
      </c>
      <c r="K325">
        <v>13</v>
      </c>
      <c r="L325">
        <v>2</v>
      </c>
    </row>
    <row r="326" spans="1:12" x14ac:dyDescent="0.35">
      <c r="A326">
        <v>325</v>
      </c>
      <c r="B326" t="s">
        <v>38</v>
      </c>
      <c r="C326" t="s">
        <v>13</v>
      </c>
      <c r="D326" t="s">
        <v>31</v>
      </c>
      <c r="E326" t="s">
        <v>15</v>
      </c>
      <c r="F326" t="s">
        <v>977</v>
      </c>
      <c r="G326" t="s">
        <v>978</v>
      </c>
      <c r="H326" t="s">
        <v>979</v>
      </c>
      <c r="I326">
        <v>135.81</v>
      </c>
      <c r="J326">
        <v>8.35</v>
      </c>
      <c r="K326">
        <v>15</v>
      </c>
      <c r="L326">
        <v>1</v>
      </c>
    </row>
    <row r="327" spans="1:12" x14ac:dyDescent="0.35">
      <c r="A327">
        <v>326</v>
      </c>
      <c r="B327" t="s">
        <v>22</v>
      </c>
      <c r="C327" t="s">
        <v>13</v>
      </c>
      <c r="D327" t="s">
        <v>31</v>
      </c>
      <c r="E327" t="s">
        <v>15</v>
      </c>
      <c r="F327" t="s">
        <v>980</v>
      </c>
      <c r="G327" t="s">
        <v>981</v>
      </c>
      <c r="H327" t="s">
        <v>982</v>
      </c>
      <c r="I327">
        <v>31.73</v>
      </c>
      <c r="J327">
        <v>5.68</v>
      </c>
      <c r="K327">
        <v>10</v>
      </c>
      <c r="L327">
        <v>2</v>
      </c>
    </row>
    <row r="328" spans="1:12" x14ac:dyDescent="0.35">
      <c r="A328">
        <v>327</v>
      </c>
      <c r="B328" t="s">
        <v>22</v>
      </c>
      <c r="C328" t="s">
        <v>13</v>
      </c>
      <c r="D328" t="s">
        <v>31</v>
      </c>
      <c r="E328" t="s">
        <v>27</v>
      </c>
      <c r="F328" t="s">
        <v>983</v>
      </c>
      <c r="G328" t="s">
        <v>984</v>
      </c>
      <c r="H328" t="s">
        <v>985</v>
      </c>
      <c r="I328">
        <v>7.08</v>
      </c>
      <c r="J328">
        <v>6.66</v>
      </c>
      <c r="K328">
        <v>4</v>
      </c>
      <c r="L328">
        <v>3</v>
      </c>
    </row>
    <row r="329" spans="1:12" x14ac:dyDescent="0.35">
      <c r="A329">
        <v>328</v>
      </c>
      <c r="B329" t="s">
        <v>38</v>
      </c>
      <c r="C329" t="s">
        <v>13</v>
      </c>
      <c r="D329" t="s">
        <v>31</v>
      </c>
      <c r="E329" t="s">
        <v>72</v>
      </c>
      <c r="F329" t="s">
        <v>986</v>
      </c>
      <c r="G329" t="s">
        <v>987</v>
      </c>
      <c r="H329" t="s">
        <v>988</v>
      </c>
      <c r="I329">
        <v>37.51</v>
      </c>
      <c r="J329">
        <v>7.52</v>
      </c>
      <c r="K329">
        <v>10</v>
      </c>
      <c r="L329">
        <v>2</v>
      </c>
    </row>
    <row r="330" spans="1:12" x14ac:dyDescent="0.35">
      <c r="A330">
        <v>329</v>
      </c>
      <c r="B330" t="s">
        <v>22</v>
      </c>
      <c r="C330" t="s">
        <v>13</v>
      </c>
      <c r="D330" t="s">
        <v>31</v>
      </c>
      <c r="E330" t="s">
        <v>72</v>
      </c>
      <c r="F330" t="s">
        <v>989</v>
      </c>
      <c r="G330" t="s">
        <v>990</v>
      </c>
      <c r="H330" t="s">
        <v>991</v>
      </c>
      <c r="I330">
        <v>20.57</v>
      </c>
      <c r="J330">
        <v>7.33</v>
      </c>
      <c r="K330">
        <v>7</v>
      </c>
      <c r="L330">
        <v>2</v>
      </c>
    </row>
    <row r="331" spans="1:12" x14ac:dyDescent="0.35">
      <c r="A331">
        <v>330</v>
      </c>
      <c r="B331" t="s">
        <v>26</v>
      </c>
      <c r="C331" t="s">
        <v>13</v>
      </c>
      <c r="D331" t="s">
        <v>31</v>
      </c>
      <c r="E331" t="s">
        <v>15</v>
      </c>
      <c r="F331" t="s">
        <v>992</v>
      </c>
      <c r="G331" t="s">
        <v>993</v>
      </c>
      <c r="H331" t="s">
        <v>994</v>
      </c>
      <c r="I331">
        <v>4.7</v>
      </c>
      <c r="J331">
        <v>5.93</v>
      </c>
      <c r="K331">
        <v>4</v>
      </c>
      <c r="L331">
        <v>3</v>
      </c>
    </row>
    <row r="332" spans="1:12" x14ac:dyDescent="0.35">
      <c r="A332">
        <v>331</v>
      </c>
      <c r="B332" t="s">
        <v>38</v>
      </c>
      <c r="C332" t="s">
        <v>13</v>
      </c>
      <c r="D332" t="s">
        <v>31</v>
      </c>
      <c r="E332" t="s">
        <v>72</v>
      </c>
      <c r="F332" t="s">
        <v>995</v>
      </c>
      <c r="G332" t="s">
        <v>996</v>
      </c>
      <c r="H332" t="s">
        <v>380</v>
      </c>
      <c r="I332">
        <v>17.399999999999999</v>
      </c>
      <c r="J332">
        <v>6.09</v>
      </c>
      <c r="K332">
        <v>7</v>
      </c>
      <c r="L332">
        <v>3</v>
      </c>
    </row>
    <row r="333" spans="1:12" x14ac:dyDescent="0.35">
      <c r="A333">
        <v>332</v>
      </c>
      <c r="B333" t="s">
        <v>22</v>
      </c>
      <c r="C333" t="s">
        <v>13</v>
      </c>
      <c r="D333" t="s">
        <v>14</v>
      </c>
      <c r="E333" t="s">
        <v>72</v>
      </c>
      <c r="F333" t="s">
        <v>997</v>
      </c>
      <c r="G333" t="s">
        <v>998</v>
      </c>
      <c r="H333" t="s">
        <v>999</v>
      </c>
      <c r="I333">
        <v>13.74</v>
      </c>
      <c r="J333">
        <v>5</v>
      </c>
      <c r="K333">
        <v>3</v>
      </c>
      <c r="L333">
        <v>1</v>
      </c>
    </row>
    <row r="334" spans="1:12" x14ac:dyDescent="0.35">
      <c r="A334">
        <v>333</v>
      </c>
      <c r="B334" t="s">
        <v>12</v>
      </c>
      <c r="C334" t="s">
        <v>13</v>
      </c>
      <c r="D334" t="s">
        <v>31</v>
      </c>
      <c r="E334" t="s">
        <v>27</v>
      </c>
      <c r="F334" t="s">
        <v>1000</v>
      </c>
      <c r="G334" t="s">
        <v>1001</v>
      </c>
      <c r="H334" t="s">
        <v>1002</v>
      </c>
      <c r="I334">
        <v>25.85</v>
      </c>
      <c r="J334">
        <v>4.5</v>
      </c>
      <c r="K334">
        <v>5</v>
      </c>
      <c r="L334">
        <v>1</v>
      </c>
    </row>
    <row r="335" spans="1:12" x14ac:dyDescent="0.35">
      <c r="A335">
        <v>334</v>
      </c>
      <c r="B335" t="s">
        <v>12</v>
      </c>
      <c r="C335" t="s">
        <v>13</v>
      </c>
      <c r="D335" t="s">
        <v>14</v>
      </c>
      <c r="E335" t="s">
        <v>27</v>
      </c>
      <c r="F335" t="s">
        <v>1003</v>
      </c>
      <c r="G335" t="s">
        <v>1004</v>
      </c>
      <c r="H335" t="s">
        <v>1005</v>
      </c>
      <c r="I335">
        <v>20.47</v>
      </c>
      <c r="J335">
        <v>3.94</v>
      </c>
      <c r="K335">
        <v>4</v>
      </c>
      <c r="L335">
        <v>1</v>
      </c>
    </row>
    <row r="336" spans="1:12" x14ac:dyDescent="0.35">
      <c r="A336">
        <v>335</v>
      </c>
      <c r="B336" t="s">
        <v>38</v>
      </c>
      <c r="C336" t="s">
        <v>13</v>
      </c>
      <c r="D336" t="s">
        <v>31</v>
      </c>
      <c r="E336" t="s">
        <v>27</v>
      </c>
      <c r="F336" t="s">
        <v>1006</v>
      </c>
      <c r="G336" t="s">
        <v>1007</v>
      </c>
      <c r="H336" t="s">
        <v>1008</v>
      </c>
      <c r="I336">
        <v>120.02</v>
      </c>
      <c r="J336">
        <v>8.48</v>
      </c>
      <c r="K336">
        <v>12</v>
      </c>
      <c r="L336">
        <v>1</v>
      </c>
    </row>
    <row r="337" spans="1:12" x14ac:dyDescent="0.35">
      <c r="A337">
        <v>336</v>
      </c>
      <c r="B337" t="s">
        <v>22</v>
      </c>
      <c r="C337" t="s">
        <v>13</v>
      </c>
      <c r="D337" t="s">
        <v>14</v>
      </c>
      <c r="E337" t="s">
        <v>72</v>
      </c>
      <c r="F337" t="s">
        <v>1009</v>
      </c>
      <c r="G337" t="s">
        <v>1010</v>
      </c>
      <c r="H337" t="s">
        <v>1011</v>
      </c>
      <c r="I337">
        <v>14.92</v>
      </c>
      <c r="J337">
        <v>3.21</v>
      </c>
      <c r="K337">
        <v>3</v>
      </c>
      <c r="L337">
        <v>1</v>
      </c>
    </row>
    <row r="338" spans="1:12" x14ac:dyDescent="0.35">
      <c r="A338">
        <v>337</v>
      </c>
      <c r="B338" t="s">
        <v>12</v>
      </c>
      <c r="C338" t="s">
        <v>13</v>
      </c>
      <c r="D338" t="s">
        <v>31</v>
      </c>
      <c r="E338" t="s">
        <v>27</v>
      </c>
      <c r="F338" t="s">
        <v>1012</v>
      </c>
      <c r="G338" t="s">
        <v>1013</v>
      </c>
      <c r="H338" t="s">
        <v>1014</v>
      </c>
      <c r="I338">
        <v>8.06</v>
      </c>
      <c r="J338">
        <v>5.65</v>
      </c>
      <c r="K338">
        <v>3</v>
      </c>
      <c r="L338">
        <v>2</v>
      </c>
    </row>
    <row r="339" spans="1:12" x14ac:dyDescent="0.35">
      <c r="A339">
        <v>338</v>
      </c>
      <c r="B339" t="s">
        <v>12</v>
      </c>
      <c r="C339" t="s">
        <v>13</v>
      </c>
      <c r="D339" t="s">
        <v>14</v>
      </c>
      <c r="E339" t="s">
        <v>27</v>
      </c>
      <c r="F339" t="s">
        <v>1015</v>
      </c>
      <c r="G339" t="s">
        <v>1016</v>
      </c>
      <c r="H339" t="s">
        <v>1017</v>
      </c>
      <c r="I339">
        <v>10.32</v>
      </c>
      <c r="J339">
        <v>3.4</v>
      </c>
      <c r="K339">
        <v>4</v>
      </c>
      <c r="L339">
        <v>2</v>
      </c>
    </row>
    <row r="340" spans="1:12" x14ac:dyDescent="0.35">
      <c r="A340">
        <v>339</v>
      </c>
      <c r="B340" t="s">
        <v>26</v>
      </c>
      <c r="C340" t="s">
        <v>13</v>
      </c>
      <c r="D340" t="s">
        <v>31</v>
      </c>
      <c r="E340" t="s">
        <v>72</v>
      </c>
      <c r="F340" t="s">
        <v>1018</v>
      </c>
      <c r="G340" t="s">
        <v>1019</v>
      </c>
      <c r="H340" t="s">
        <v>1020</v>
      </c>
      <c r="I340">
        <v>34.43</v>
      </c>
      <c r="J340">
        <v>5.14</v>
      </c>
      <c r="K340">
        <v>7</v>
      </c>
      <c r="L340">
        <v>1</v>
      </c>
    </row>
    <row r="341" spans="1:12" x14ac:dyDescent="0.35">
      <c r="A341">
        <v>340</v>
      </c>
      <c r="B341" t="s">
        <v>38</v>
      </c>
      <c r="C341" t="s">
        <v>13</v>
      </c>
      <c r="D341" t="s">
        <v>14</v>
      </c>
      <c r="E341" t="s">
        <v>15</v>
      </c>
      <c r="F341" t="s">
        <v>1021</v>
      </c>
      <c r="G341" t="s">
        <v>1022</v>
      </c>
      <c r="H341" t="s">
        <v>1023</v>
      </c>
      <c r="I341">
        <v>10.16</v>
      </c>
      <c r="J341">
        <v>7.99</v>
      </c>
      <c r="K341">
        <v>5</v>
      </c>
      <c r="L341">
        <v>3</v>
      </c>
    </row>
    <row r="342" spans="1:12" x14ac:dyDescent="0.35">
      <c r="A342">
        <v>341</v>
      </c>
      <c r="B342" t="s">
        <v>22</v>
      </c>
      <c r="C342" t="s">
        <v>13</v>
      </c>
      <c r="D342" t="s">
        <v>14</v>
      </c>
      <c r="E342" t="s">
        <v>15</v>
      </c>
      <c r="F342" t="s">
        <v>1024</v>
      </c>
      <c r="G342" t="s">
        <v>1025</v>
      </c>
      <c r="H342" t="s">
        <v>1026</v>
      </c>
      <c r="I342">
        <v>12.04</v>
      </c>
      <c r="J342">
        <v>5</v>
      </c>
      <c r="K342">
        <v>7</v>
      </c>
      <c r="L342">
        <v>3</v>
      </c>
    </row>
    <row r="343" spans="1:12" x14ac:dyDescent="0.35">
      <c r="A343">
        <v>342</v>
      </c>
      <c r="B343" t="s">
        <v>22</v>
      </c>
      <c r="C343" t="s">
        <v>13</v>
      </c>
      <c r="D343" t="s">
        <v>14</v>
      </c>
      <c r="E343" t="s">
        <v>15</v>
      </c>
      <c r="F343" t="s">
        <v>1027</v>
      </c>
      <c r="G343" t="s">
        <v>1028</v>
      </c>
      <c r="H343" t="s">
        <v>1029</v>
      </c>
      <c r="I343">
        <v>11.25</v>
      </c>
      <c r="J343">
        <v>6.56</v>
      </c>
      <c r="K343">
        <v>5</v>
      </c>
      <c r="L343">
        <v>3</v>
      </c>
    </row>
    <row r="344" spans="1:12" x14ac:dyDescent="0.35">
      <c r="A344">
        <v>343</v>
      </c>
      <c r="B344" t="s">
        <v>38</v>
      </c>
      <c r="C344" t="s">
        <v>13</v>
      </c>
      <c r="D344" t="s">
        <v>14</v>
      </c>
      <c r="E344" t="s">
        <v>27</v>
      </c>
      <c r="F344" t="s">
        <v>1030</v>
      </c>
      <c r="G344" t="s">
        <v>1031</v>
      </c>
      <c r="H344" t="s">
        <v>501</v>
      </c>
      <c r="I344">
        <v>28.4</v>
      </c>
      <c r="J344">
        <v>7.76</v>
      </c>
      <c r="K344">
        <v>7</v>
      </c>
      <c r="L344">
        <v>2</v>
      </c>
    </row>
    <row r="345" spans="1:12" x14ac:dyDescent="0.35">
      <c r="A345">
        <v>344</v>
      </c>
      <c r="B345" t="s">
        <v>38</v>
      </c>
      <c r="C345" t="s">
        <v>13</v>
      </c>
      <c r="D345" t="s">
        <v>14</v>
      </c>
      <c r="E345" t="s">
        <v>72</v>
      </c>
      <c r="F345" t="s">
        <v>1032</v>
      </c>
      <c r="G345" t="s">
        <v>1033</v>
      </c>
      <c r="H345" t="s">
        <v>1034</v>
      </c>
      <c r="I345">
        <v>15.42</v>
      </c>
      <c r="J345">
        <v>7.5</v>
      </c>
      <c r="K345">
        <v>4</v>
      </c>
      <c r="L345">
        <v>2</v>
      </c>
    </row>
    <row r="346" spans="1:12" x14ac:dyDescent="0.35">
      <c r="A346">
        <v>345</v>
      </c>
      <c r="B346" t="s">
        <v>38</v>
      </c>
      <c r="C346" t="s">
        <v>13</v>
      </c>
      <c r="D346" t="s">
        <v>31</v>
      </c>
      <c r="E346" t="s">
        <v>27</v>
      </c>
      <c r="F346" t="s">
        <v>1035</v>
      </c>
      <c r="G346" t="s">
        <v>1036</v>
      </c>
      <c r="H346" t="s">
        <v>239</v>
      </c>
      <c r="I346">
        <v>52.83</v>
      </c>
      <c r="J346">
        <v>10.82</v>
      </c>
      <c r="K346">
        <v>10</v>
      </c>
      <c r="L346">
        <v>2</v>
      </c>
    </row>
    <row r="347" spans="1:12" x14ac:dyDescent="0.35">
      <c r="A347">
        <v>346</v>
      </c>
      <c r="B347" t="s">
        <v>22</v>
      </c>
      <c r="C347" t="s">
        <v>13</v>
      </c>
      <c r="D347" t="s">
        <v>14</v>
      </c>
      <c r="E347" t="s">
        <v>15</v>
      </c>
      <c r="F347" t="s">
        <v>1037</v>
      </c>
      <c r="G347" t="s">
        <v>1038</v>
      </c>
      <c r="H347" t="s">
        <v>1039</v>
      </c>
      <c r="I347">
        <v>23.3</v>
      </c>
      <c r="J347">
        <v>5.46</v>
      </c>
      <c r="K347">
        <v>5</v>
      </c>
      <c r="L347">
        <v>1</v>
      </c>
    </row>
    <row r="348" spans="1:12" x14ac:dyDescent="0.35">
      <c r="A348">
        <v>347</v>
      </c>
      <c r="B348" t="s">
        <v>26</v>
      </c>
      <c r="C348" t="s">
        <v>13</v>
      </c>
      <c r="D348" t="s">
        <v>31</v>
      </c>
      <c r="E348" t="s">
        <v>15</v>
      </c>
      <c r="F348" t="s">
        <v>1040</v>
      </c>
      <c r="G348" t="s">
        <v>1041</v>
      </c>
      <c r="H348" t="s">
        <v>1042</v>
      </c>
      <c r="I348">
        <v>25.07</v>
      </c>
      <c r="J348">
        <v>4.75</v>
      </c>
      <c r="K348">
        <v>8</v>
      </c>
      <c r="L348">
        <v>2</v>
      </c>
    </row>
    <row r="349" spans="1:12" x14ac:dyDescent="0.35">
      <c r="A349">
        <v>348</v>
      </c>
      <c r="B349" t="s">
        <v>38</v>
      </c>
      <c r="C349" t="s">
        <v>13</v>
      </c>
      <c r="D349" t="s">
        <v>14</v>
      </c>
      <c r="E349" t="s">
        <v>72</v>
      </c>
      <c r="F349" t="s">
        <v>1043</v>
      </c>
      <c r="G349" t="s">
        <v>1044</v>
      </c>
      <c r="H349" t="s">
        <v>1045</v>
      </c>
      <c r="I349">
        <v>16.29</v>
      </c>
      <c r="J349">
        <v>4.58</v>
      </c>
      <c r="K349">
        <v>5</v>
      </c>
      <c r="L349">
        <v>2</v>
      </c>
    </row>
    <row r="350" spans="1:12" x14ac:dyDescent="0.35">
      <c r="A350">
        <v>349</v>
      </c>
      <c r="B350" t="s">
        <v>38</v>
      </c>
      <c r="C350" t="s">
        <v>13</v>
      </c>
      <c r="D350" t="s">
        <v>31</v>
      </c>
      <c r="E350" t="s">
        <v>15</v>
      </c>
      <c r="F350" t="s">
        <v>1046</v>
      </c>
      <c r="G350" t="s">
        <v>1047</v>
      </c>
      <c r="H350" t="s">
        <v>1048</v>
      </c>
      <c r="I350">
        <v>24.73</v>
      </c>
      <c r="J350">
        <v>7.93</v>
      </c>
      <c r="K350">
        <v>8</v>
      </c>
      <c r="L350">
        <v>3</v>
      </c>
    </row>
    <row r="351" spans="1:12" x14ac:dyDescent="0.35">
      <c r="A351">
        <v>350</v>
      </c>
      <c r="B351" t="s">
        <v>22</v>
      </c>
      <c r="C351" t="s">
        <v>13</v>
      </c>
      <c r="D351" t="s">
        <v>14</v>
      </c>
      <c r="E351" t="s">
        <v>15</v>
      </c>
      <c r="F351" t="s">
        <v>1049</v>
      </c>
      <c r="G351" t="s">
        <v>1050</v>
      </c>
      <c r="H351" t="s">
        <v>1051</v>
      </c>
      <c r="I351">
        <v>8.77</v>
      </c>
      <c r="J351">
        <v>3.52</v>
      </c>
      <c r="K351">
        <v>5</v>
      </c>
      <c r="L351">
        <v>3</v>
      </c>
    </row>
    <row r="352" spans="1:12" x14ac:dyDescent="0.35">
      <c r="A352">
        <v>351</v>
      </c>
      <c r="B352" t="s">
        <v>38</v>
      </c>
      <c r="C352" t="s">
        <v>13</v>
      </c>
      <c r="D352" t="s">
        <v>14</v>
      </c>
      <c r="E352" t="s">
        <v>15</v>
      </c>
      <c r="F352" t="s">
        <v>1052</v>
      </c>
      <c r="G352" t="s">
        <v>1053</v>
      </c>
      <c r="H352" t="s">
        <v>1054</v>
      </c>
      <c r="I352">
        <v>33.99</v>
      </c>
      <c r="J352">
        <v>5.33</v>
      </c>
      <c r="K352">
        <v>13</v>
      </c>
      <c r="L352">
        <v>3</v>
      </c>
    </row>
    <row r="353" spans="1:12" x14ac:dyDescent="0.35">
      <c r="A353">
        <v>352</v>
      </c>
      <c r="B353" t="s">
        <v>22</v>
      </c>
      <c r="C353" t="s">
        <v>13</v>
      </c>
      <c r="D353" t="s">
        <v>14</v>
      </c>
      <c r="E353" t="s">
        <v>72</v>
      </c>
      <c r="F353" t="s">
        <v>1055</v>
      </c>
      <c r="G353" t="s">
        <v>1056</v>
      </c>
      <c r="H353" t="s">
        <v>1057</v>
      </c>
      <c r="I353">
        <v>18.71</v>
      </c>
      <c r="J353">
        <v>3.57</v>
      </c>
      <c r="K353">
        <v>8</v>
      </c>
      <c r="L353">
        <v>2</v>
      </c>
    </row>
    <row r="354" spans="1:12" x14ac:dyDescent="0.35">
      <c r="A354">
        <v>353</v>
      </c>
      <c r="B354" t="s">
        <v>12</v>
      </c>
      <c r="C354" t="s">
        <v>13</v>
      </c>
      <c r="D354" t="s">
        <v>14</v>
      </c>
      <c r="E354" t="s">
        <v>15</v>
      </c>
      <c r="F354" t="s">
        <v>1058</v>
      </c>
      <c r="G354" t="s">
        <v>1059</v>
      </c>
      <c r="H354" t="s">
        <v>1060</v>
      </c>
      <c r="I354">
        <v>5.49</v>
      </c>
      <c r="J354">
        <v>4.9400000000000004</v>
      </c>
      <c r="K354">
        <v>3</v>
      </c>
      <c r="L354">
        <v>3</v>
      </c>
    </row>
    <row r="355" spans="1:12" x14ac:dyDescent="0.35">
      <c r="A355">
        <v>354</v>
      </c>
      <c r="B355" t="s">
        <v>26</v>
      </c>
      <c r="C355" t="s">
        <v>13</v>
      </c>
      <c r="D355" t="s">
        <v>14</v>
      </c>
      <c r="E355" t="s">
        <v>27</v>
      </c>
      <c r="F355" t="s">
        <v>1061</v>
      </c>
      <c r="G355" t="s">
        <v>1062</v>
      </c>
      <c r="H355" t="s">
        <v>1063</v>
      </c>
      <c r="I355">
        <v>6.74</v>
      </c>
      <c r="J355">
        <v>3.94</v>
      </c>
      <c r="K355">
        <v>3</v>
      </c>
      <c r="L355">
        <v>2</v>
      </c>
    </row>
    <row r="356" spans="1:12" x14ac:dyDescent="0.35">
      <c r="A356">
        <v>355</v>
      </c>
      <c r="B356" t="s">
        <v>12</v>
      </c>
      <c r="C356" t="s">
        <v>13</v>
      </c>
      <c r="D356" t="s">
        <v>31</v>
      </c>
      <c r="E356" t="s">
        <v>15</v>
      </c>
      <c r="F356" t="s">
        <v>1064</v>
      </c>
      <c r="G356" t="s">
        <v>1065</v>
      </c>
      <c r="H356" t="s">
        <v>1066</v>
      </c>
      <c r="I356">
        <v>5.18</v>
      </c>
      <c r="J356">
        <v>4.2699999999999996</v>
      </c>
      <c r="K356">
        <v>3</v>
      </c>
      <c r="L356">
        <v>2</v>
      </c>
    </row>
    <row r="357" spans="1:12" x14ac:dyDescent="0.35">
      <c r="A357">
        <v>356</v>
      </c>
      <c r="B357" t="s">
        <v>38</v>
      </c>
      <c r="C357" t="s">
        <v>13</v>
      </c>
      <c r="D357" t="s">
        <v>14</v>
      </c>
      <c r="E357" t="s">
        <v>15</v>
      </c>
      <c r="F357" t="s">
        <v>1067</v>
      </c>
      <c r="G357" t="s">
        <v>1068</v>
      </c>
      <c r="H357" t="s">
        <v>1069</v>
      </c>
      <c r="I357">
        <v>76.27</v>
      </c>
      <c r="J357">
        <v>7.23</v>
      </c>
      <c r="K357">
        <v>10</v>
      </c>
      <c r="L357">
        <v>1</v>
      </c>
    </row>
    <row r="358" spans="1:12" x14ac:dyDescent="0.35">
      <c r="A358">
        <v>357</v>
      </c>
      <c r="B358" t="s">
        <v>26</v>
      </c>
      <c r="C358" t="s">
        <v>13</v>
      </c>
      <c r="D358" t="s">
        <v>31</v>
      </c>
      <c r="E358" t="s">
        <v>15</v>
      </c>
      <c r="F358" t="s">
        <v>1070</v>
      </c>
      <c r="G358" t="s">
        <v>1071</v>
      </c>
      <c r="H358" t="s">
        <v>1072</v>
      </c>
      <c r="I358">
        <v>20.74</v>
      </c>
      <c r="J358">
        <v>5.1100000000000003</v>
      </c>
      <c r="K358">
        <v>4</v>
      </c>
      <c r="L358">
        <v>1</v>
      </c>
    </row>
    <row r="359" spans="1:12" x14ac:dyDescent="0.35">
      <c r="A359">
        <v>358</v>
      </c>
      <c r="B359" t="s">
        <v>26</v>
      </c>
      <c r="C359" t="s">
        <v>13</v>
      </c>
      <c r="D359" t="s">
        <v>14</v>
      </c>
      <c r="E359" t="s">
        <v>27</v>
      </c>
      <c r="F359" t="s">
        <v>1073</v>
      </c>
      <c r="G359" t="s">
        <v>1074</v>
      </c>
      <c r="H359" t="s">
        <v>1075</v>
      </c>
      <c r="I359">
        <v>25.55</v>
      </c>
      <c r="J359">
        <v>5.15</v>
      </c>
      <c r="K359">
        <v>5</v>
      </c>
      <c r="L359">
        <v>1</v>
      </c>
    </row>
    <row r="360" spans="1:12" x14ac:dyDescent="0.35">
      <c r="A360">
        <v>359</v>
      </c>
      <c r="B360" t="s">
        <v>26</v>
      </c>
      <c r="C360" t="s">
        <v>13</v>
      </c>
      <c r="D360" t="s">
        <v>31</v>
      </c>
      <c r="E360" t="s">
        <v>27</v>
      </c>
      <c r="F360" t="s">
        <v>1076</v>
      </c>
      <c r="G360" t="s">
        <v>1077</v>
      </c>
      <c r="H360" t="s">
        <v>1078</v>
      </c>
      <c r="I360">
        <v>20.59</v>
      </c>
      <c r="J360">
        <v>6.37</v>
      </c>
      <c r="K360">
        <v>6</v>
      </c>
      <c r="L360">
        <v>2</v>
      </c>
    </row>
    <row r="361" spans="1:12" x14ac:dyDescent="0.35">
      <c r="A361">
        <v>360</v>
      </c>
      <c r="B361" t="s">
        <v>26</v>
      </c>
      <c r="C361" t="s">
        <v>13</v>
      </c>
      <c r="D361" t="s">
        <v>14</v>
      </c>
      <c r="E361" t="s">
        <v>15</v>
      </c>
      <c r="F361" t="s">
        <v>1079</v>
      </c>
      <c r="G361" t="s">
        <v>1080</v>
      </c>
      <c r="H361" t="s">
        <v>1081</v>
      </c>
      <c r="I361">
        <v>12.6</v>
      </c>
      <c r="J361">
        <v>4.54</v>
      </c>
      <c r="K361">
        <v>6</v>
      </c>
      <c r="L361">
        <v>2</v>
      </c>
    </row>
    <row r="362" spans="1:12" x14ac:dyDescent="0.35">
      <c r="A362">
        <v>361</v>
      </c>
      <c r="B362" t="s">
        <v>12</v>
      </c>
      <c r="C362" t="s">
        <v>13</v>
      </c>
      <c r="D362" t="s">
        <v>14</v>
      </c>
      <c r="E362" t="s">
        <v>15</v>
      </c>
      <c r="F362" t="s">
        <v>1082</v>
      </c>
      <c r="G362" t="s">
        <v>221</v>
      </c>
      <c r="H362" t="s">
        <v>1083</v>
      </c>
      <c r="I362">
        <v>4.95</v>
      </c>
      <c r="J362">
        <v>4.97</v>
      </c>
      <c r="K362">
        <v>4</v>
      </c>
      <c r="L362">
        <v>3</v>
      </c>
    </row>
    <row r="363" spans="1:12" x14ac:dyDescent="0.35">
      <c r="A363">
        <v>362</v>
      </c>
      <c r="B363" t="s">
        <v>22</v>
      </c>
      <c r="C363" t="s">
        <v>13</v>
      </c>
      <c r="D363" t="s">
        <v>14</v>
      </c>
      <c r="E363" t="s">
        <v>72</v>
      </c>
      <c r="F363" t="s">
        <v>1084</v>
      </c>
      <c r="G363" t="s">
        <v>1085</v>
      </c>
      <c r="H363" t="s">
        <v>1086</v>
      </c>
      <c r="I363">
        <v>7.8</v>
      </c>
      <c r="J363">
        <v>4.01</v>
      </c>
      <c r="K363">
        <v>4</v>
      </c>
      <c r="L363">
        <v>3</v>
      </c>
    </row>
    <row r="364" spans="1:12" x14ac:dyDescent="0.35">
      <c r="A364">
        <v>363</v>
      </c>
      <c r="B364" t="s">
        <v>26</v>
      </c>
      <c r="C364" t="s">
        <v>13</v>
      </c>
      <c r="D364" t="s">
        <v>31</v>
      </c>
      <c r="E364" t="s">
        <v>72</v>
      </c>
      <c r="F364" t="s">
        <v>1087</v>
      </c>
      <c r="G364" t="s">
        <v>1088</v>
      </c>
      <c r="H364" t="s">
        <v>1089</v>
      </c>
      <c r="I364">
        <v>23.06</v>
      </c>
      <c r="J364">
        <v>4.62</v>
      </c>
      <c r="K364">
        <v>5</v>
      </c>
      <c r="L364">
        <v>1</v>
      </c>
    </row>
    <row r="365" spans="1:12" x14ac:dyDescent="0.35">
      <c r="A365">
        <v>364</v>
      </c>
      <c r="B365" t="s">
        <v>38</v>
      </c>
      <c r="C365" t="s">
        <v>13</v>
      </c>
      <c r="D365" t="s">
        <v>14</v>
      </c>
      <c r="E365" t="s">
        <v>15</v>
      </c>
      <c r="F365" t="s">
        <v>1090</v>
      </c>
      <c r="G365" t="s">
        <v>1091</v>
      </c>
      <c r="H365" t="s">
        <v>1092</v>
      </c>
      <c r="I365">
        <v>13.44</v>
      </c>
      <c r="J365">
        <v>6.34</v>
      </c>
      <c r="K365">
        <v>5</v>
      </c>
      <c r="L365">
        <v>3</v>
      </c>
    </row>
    <row r="366" spans="1:12" x14ac:dyDescent="0.35">
      <c r="A366">
        <v>365</v>
      </c>
      <c r="B366" t="s">
        <v>26</v>
      </c>
      <c r="C366" t="s">
        <v>13</v>
      </c>
      <c r="D366" t="s">
        <v>14</v>
      </c>
      <c r="E366" t="s">
        <v>72</v>
      </c>
      <c r="F366" t="s">
        <v>1093</v>
      </c>
      <c r="G366" t="s">
        <v>1094</v>
      </c>
      <c r="H366" t="s">
        <v>1095</v>
      </c>
      <c r="I366">
        <v>2.23</v>
      </c>
      <c r="J366">
        <v>4.67</v>
      </c>
      <c r="K366">
        <v>1</v>
      </c>
      <c r="L366">
        <v>3</v>
      </c>
    </row>
    <row r="367" spans="1:12" x14ac:dyDescent="0.35">
      <c r="A367">
        <v>366</v>
      </c>
      <c r="B367" t="s">
        <v>12</v>
      </c>
      <c r="C367" t="s">
        <v>13</v>
      </c>
      <c r="D367" t="s">
        <v>31</v>
      </c>
      <c r="E367" t="s">
        <v>15</v>
      </c>
      <c r="F367" t="s">
        <v>1096</v>
      </c>
      <c r="G367" t="s">
        <v>893</v>
      </c>
      <c r="H367" t="s">
        <v>1097</v>
      </c>
      <c r="I367">
        <v>27.26</v>
      </c>
      <c r="J367">
        <v>4.8899999999999997</v>
      </c>
      <c r="K367">
        <v>6</v>
      </c>
      <c r="L367">
        <v>1</v>
      </c>
    </row>
    <row r="368" spans="1:12" x14ac:dyDescent="0.35">
      <c r="A368">
        <v>367</v>
      </c>
      <c r="B368" t="s">
        <v>26</v>
      </c>
      <c r="C368" t="s">
        <v>13</v>
      </c>
      <c r="D368" t="s">
        <v>31</v>
      </c>
      <c r="E368" t="s">
        <v>72</v>
      </c>
      <c r="F368" t="s">
        <v>227</v>
      </c>
      <c r="G368" t="s">
        <v>1098</v>
      </c>
      <c r="H368" t="s">
        <v>1099</v>
      </c>
      <c r="I368">
        <v>29.1</v>
      </c>
      <c r="J368">
        <v>5.1100000000000003</v>
      </c>
      <c r="K368">
        <v>6</v>
      </c>
      <c r="L368">
        <v>1</v>
      </c>
    </row>
    <row r="369" spans="1:12" x14ac:dyDescent="0.35">
      <c r="A369">
        <v>368</v>
      </c>
      <c r="B369" t="s">
        <v>22</v>
      </c>
      <c r="C369" t="s">
        <v>13</v>
      </c>
      <c r="D369" t="s">
        <v>31</v>
      </c>
      <c r="E369" t="s">
        <v>72</v>
      </c>
      <c r="F369" t="s">
        <v>1100</v>
      </c>
      <c r="G369" t="s">
        <v>1101</v>
      </c>
      <c r="H369" t="s">
        <v>1102</v>
      </c>
      <c r="I369">
        <v>13.45</v>
      </c>
      <c r="J369">
        <v>4.3899999999999997</v>
      </c>
      <c r="K369">
        <v>8</v>
      </c>
      <c r="L369">
        <v>3</v>
      </c>
    </row>
    <row r="370" spans="1:12" x14ac:dyDescent="0.35">
      <c r="A370">
        <v>369</v>
      </c>
      <c r="B370" t="s">
        <v>38</v>
      </c>
      <c r="C370" t="s">
        <v>13</v>
      </c>
      <c r="D370" t="s">
        <v>14</v>
      </c>
      <c r="E370" t="s">
        <v>27</v>
      </c>
      <c r="F370" t="s">
        <v>1103</v>
      </c>
      <c r="G370" t="s">
        <v>1104</v>
      </c>
      <c r="H370" t="s">
        <v>1105</v>
      </c>
      <c r="I370">
        <v>49.34</v>
      </c>
      <c r="J370">
        <v>9.9700000000000006</v>
      </c>
      <c r="K370">
        <v>6</v>
      </c>
      <c r="L370">
        <v>1</v>
      </c>
    </row>
    <row r="371" spans="1:12" x14ac:dyDescent="0.35">
      <c r="A371">
        <v>370</v>
      </c>
      <c r="B371" t="s">
        <v>26</v>
      </c>
      <c r="C371" t="s">
        <v>13</v>
      </c>
      <c r="D371" t="s">
        <v>31</v>
      </c>
      <c r="E371" t="s">
        <v>27</v>
      </c>
      <c r="F371" t="s">
        <v>1106</v>
      </c>
      <c r="G371" t="s">
        <v>1107</v>
      </c>
      <c r="H371" t="s">
        <v>1108</v>
      </c>
      <c r="I371">
        <v>19.62</v>
      </c>
      <c r="J371">
        <v>5.29</v>
      </c>
      <c r="K371">
        <v>9</v>
      </c>
      <c r="L371">
        <v>3</v>
      </c>
    </row>
    <row r="372" spans="1:12" x14ac:dyDescent="0.35">
      <c r="A372">
        <v>371</v>
      </c>
      <c r="B372" t="s">
        <v>22</v>
      </c>
      <c r="C372" t="s">
        <v>13</v>
      </c>
      <c r="D372" t="s">
        <v>31</v>
      </c>
      <c r="E372" t="s">
        <v>15</v>
      </c>
      <c r="F372" t="s">
        <v>1109</v>
      </c>
      <c r="G372" t="s">
        <v>1110</v>
      </c>
      <c r="H372" t="s">
        <v>1111</v>
      </c>
      <c r="I372">
        <v>15.14</v>
      </c>
      <c r="J372">
        <v>7.64</v>
      </c>
      <c r="K372">
        <v>8</v>
      </c>
      <c r="L372">
        <v>3</v>
      </c>
    </row>
    <row r="373" spans="1:12" x14ac:dyDescent="0.35">
      <c r="A373">
        <v>372</v>
      </c>
      <c r="B373" t="s">
        <v>26</v>
      </c>
      <c r="C373" t="s">
        <v>13</v>
      </c>
      <c r="D373" t="s">
        <v>31</v>
      </c>
      <c r="E373" t="s">
        <v>15</v>
      </c>
      <c r="F373" t="s">
        <v>1112</v>
      </c>
      <c r="G373" t="s">
        <v>1113</v>
      </c>
      <c r="H373" t="s">
        <v>1114</v>
      </c>
      <c r="I373">
        <v>6.04</v>
      </c>
      <c r="J373">
        <v>3.96</v>
      </c>
      <c r="K373">
        <v>2</v>
      </c>
      <c r="L373">
        <v>2</v>
      </c>
    </row>
    <row r="374" spans="1:12" x14ac:dyDescent="0.35">
      <c r="A374">
        <v>373</v>
      </c>
      <c r="B374" t="s">
        <v>26</v>
      </c>
      <c r="C374" t="s">
        <v>13</v>
      </c>
      <c r="D374" t="s">
        <v>14</v>
      </c>
      <c r="E374" t="s">
        <v>15</v>
      </c>
      <c r="F374" t="s">
        <v>1115</v>
      </c>
      <c r="G374" t="s">
        <v>1116</v>
      </c>
      <c r="H374" t="s">
        <v>1117</v>
      </c>
      <c r="I374">
        <v>10.210000000000001</v>
      </c>
      <c r="J374">
        <v>4.3099999999999996</v>
      </c>
      <c r="K374">
        <v>2</v>
      </c>
      <c r="L374">
        <v>1</v>
      </c>
    </row>
    <row r="375" spans="1:12" x14ac:dyDescent="0.35">
      <c r="A375">
        <v>374</v>
      </c>
      <c r="B375" t="s">
        <v>38</v>
      </c>
      <c r="C375" t="s">
        <v>13</v>
      </c>
      <c r="D375" t="s">
        <v>14</v>
      </c>
      <c r="E375" t="s">
        <v>27</v>
      </c>
      <c r="F375" t="s">
        <v>447</v>
      </c>
      <c r="G375" t="s">
        <v>1118</v>
      </c>
      <c r="H375" t="s">
        <v>1119</v>
      </c>
      <c r="I375">
        <v>34.94</v>
      </c>
      <c r="J375">
        <v>9.06</v>
      </c>
      <c r="K375">
        <v>8</v>
      </c>
      <c r="L375">
        <v>2</v>
      </c>
    </row>
    <row r="376" spans="1:12" x14ac:dyDescent="0.35">
      <c r="A376">
        <v>375</v>
      </c>
      <c r="B376" t="s">
        <v>22</v>
      </c>
      <c r="C376" t="s">
        <v>13</v>
      </c>
      <c r="D376" t="s">
        <v>31</v>
      </c>
      <c r="E376" t="s">
        <v>72</v>
      </c>
      <c r="F376" t="s">
        <v>1120</v>
      </c>
      <c r="G376" t="s">
        <v>1121</v>
      </c>
      <c r="H376" t="s">
        <v>82</v>
      </c>
      <c r="I376">
        <v>9.02</v>
      </c>
      <c r="J376">
        <v>4.8</v>
      </c>
      <c r="K376">
        <v>4</v>
      </c>
      <c r="L376">
        <v>3</v>
      </c>
    </row>
    <row r="377" spans="1:12" x14ac:dyDescent="0.35">
      <c r="A377">
        <v>376</v>
      </c>
      <c r="B377" t="s">
        <v>12</v>
      </c>
      <c r="C377" t="s">
        <v>13</v>
      </c>
      <c r="D377" t="s">
        <v>31</v>
      </c>
      <c r="E377" t="s">
        <v>27</v>
      </c>
      <c r="F377" t="s">
        <v>1122</v>
      </c>
      <c r="G377" t="s">
        <v>1123</v>
      </c>
      <c r="H377" t="s">
        <v>563</v>
      </c>
      <c r="I377">
        <v>22.77</v>
      </c>
      <c r="J377">
        <v>6.79</v>
      </c>
      <c r="K377">
        <v>4</v>
      </c>
      <c r="L377">
        <v>1</v>
      </c>
    </row>
    <row r="378" spans="1:12" x14ac:dyDescent="0.35">
      <c r="A378">
        <v>377</v>
      </c>
      <c r="B378" t="s">
        <v>12</v>
      </c>
      <c r="C378" t="s">
        <v>13</v>
      </c>
      <c r="D378" t="s">
        <v>31</v>
      </c>
      <c r="E378" t="s">
        <v>27</v>
      </c>
      <c r="F378" t="s">
        <v>1124</v>
      </c>
      <c r="G378" t="s">
        <v>1125</v>
      </c>
      <c r="H378" t="s">
        <v>1126</v>
      </c>
      <c r="I378">
        <v>38.44</v>
      </c>
      <c r="J378">
        <v>5.48</v>
      </c>
      <c r="K378">
        <v>7</v>
      </c>
      <c r="L378">
        <v>1</v>
      </c>
    </row>
    <row r="379" spans="1:12" x14ac:dyDescent="0.35">
      <c r="A379">
        <v>378</v>
      </c>
      <c r="B379" t="s">
        <v>22</v>
      </c>
      <c r="C379" t="s">
        <v>13</v>
      </c>
      <c r="D379" t="s">
        <v>31</v>
      </c>
      <c r="E379" t="s">
        <v>72</v>
      </c>
      <c r="F379" t="s">
        <v>1127</v>
      </c>
      <c r="G379" t="s">
        <v>1128</v>
      </c>
      <c r="H379" t="s">
        <v>792</v>
      </c>
      <c r="I379">
        <v>40.99</v>
      </c>
      <c r="J379">
        <v>5.54</v>
      </c>
      <c r="K379">
        <v>8</v>
      </c>
      <c r="L379">
        <v>1</v>
      </c>
    </row>
    <row r="380" spans="1:12" x14ac:dyDescent="0.35">
      <c r="A380">
        <v>379</v>
      </c>
      <c r="B380" t="s">
        <v>22</v>
      </c>
      <c r="C380" t="s">
        <v>13</v>
      </c>
      <c r="D380" t="s">
        <v>14</v>
      </c>
      <c r="E380" t="s">
        <v>15</v>
      </c>
      <c r="F380" t="s">
        <v>1129</v>
      </c>
      <c r="G380" t="s">
        <v>1130</v>
      </c>
      <c r="H380" t="s">
        <v>1131</v>
      </c>
      <c r="I380">
        <v>19.899999999999999</v>
      </c>
      <c r="J380">
        <v>6.35</v>
      </c>
      <c r="K380">
        <v>7</v>
      </c>
      <c r="L380">
        <v>2</v>
      </c>
    </row>
    <row r="381" spans="1:12" x14ac:dyDescent="0.35">
      <c r="A381">
        <v>380</v>
      </c>
      <c r="B381" t="s">
        <v>22</v>
      </c>
      <c r="C381" t="s">
        <v>13</v>
      </c>
      <c r="D381" t="s">
        <v>14</v>
      </c>
      <c r="E381" t="s">
        <v>27</v>
      </c>
      <c r="F381" t="s">
        <v>1132</v>
      </c>
      <c r="G381" t="s">
        <v>1133</v>
      </c>
      <c r="H381" t="s">
        <v>1134</v>
      </c>
      <c r="I381">
        <v>21.08</v>
      </c>
      <c r="J381">
        <v>4.83</v>
      </c>
      <c r="K381">
        <v>7</v>
      </c>
      <c r="L381">
        <v>2</v>
      </c>
    </row>
    <row r="382" spans="1:12" x14ac:dyDescent="0.35">
      <c r="A382">
        <v>381</v>
      </c>
      <c r="B382" t="s">
        <v>26</v>
      </c>
      <c r="C382" t="s">
        <v>13</v>
      </c>
      <c r="D382" t="s">
        <v>31</v>
      </c>
      <c r="E382" t="s">
        <v>15</v>
      </c>
      <c r="F382" t="s">
        <v>1135</v>
      </c>
      <c r="G382" t="s">
        <v>173</v>
      </c>
      <c r="H382" t="s">
        <v>1136</v>
      </c>
      <c r="I382">
        <v>18.89</v>
      </c>
      <c r="J382">
        <v>6.37</v>
      </c>
      <c r="K382">
        <v>6</v>
      </c>
      <c r="L382">
        <v>2</v>
      </c>
    </row>
    <row r="383" spans="1:12" x14ac:dyDescent="0.35">
      <c r="A383">
        <v>382</v>
      </c>
      <c r="B383" t="s">
        <v>26</v>
      </c>
      <c r="C383" t="s">
        <v>13</v>
      </c>
      <c r="D383" t="s">
        <v>31</v>
      </c>
      <c r="E383" t="s">
        <v>72</v>
      </c>
      <c r="F383" t="s">
        <v>1137</v>
      </c>
      <c r="G383" t="s">
        <v>1138</v>
      </c>
      <c r="H383" t="s">
        <v>1139</v>
      </c>
      <c r="I383">
        <v>17.38</v>
      </c>
      <c r="J383">
        <v>4.5999999999999996</v>
      </c>
      <c r="K383">
        <v>7</v>
      </c>
      <c r="L383">
        <v>2</v>
      </c>
    </row>
    <row r="384" spans="1:12" x14ac:dyDescent="0.35">
      <c r="A384">
        <v>383</v>
      </c>
      <c r="B384" t="s">
        <v>22</v>
      </c>
      <c r="C384" t="s">
        <v>13</v>
      </c>
      <c r="D384" t="s">
        <v>31</v>
      </c>
      <c r="E384" t="s">
        <v>27</v>
      </c>
      <c r="F384" t="s">
        <v>1140</v>
      </c>
      <c r="G384" t="s">
        <v>1141</v>
      </c>
      <c r="H384" t="s">
        <v>1142</v>
      </c>
      <c r="I384">
        <v>26.87</v>
      </c>
      <c r="J384">
        <v>6.87</v>
      </c>
      <c r="K384">
        <v>4</v>
      </c>
      <c r="L384">
        <v>1</v>
      </c>
    </row>
    <row r="385" spans="1:12" x14ac:dyDescent="0.35">
      <c r="A385">
        <v>384</v>
      </c>
      <c r="B385" t="s">
        <v>22</v>
      </c>
      <c r="C385" t="s">
        <v>13</v>
      </c>
      <c r="D385" t="s">
        <v>14</v>
      </c>
      <c r="E385" t="s">
        <v>27</v>
      </c>
      <c r="F385" t="s">
        <v>1143</v>
      </c>
      <c r="G385" t="s">
        <v>1144</v>
      </c>
      <c r="H385" t="s">
        <v>1145</v>
      </c>
      <c r="I385">
        <v>53.08</v>
      </c>
      <c r="J385">
        <v>5.92</v>
      </c>
      <c r="K385">
        <v>9</v>
      </c>
      <c r="L385">
        <v>1</v>
      </c>
    </row>
    <row r="386" spans="1:12" x14ac:dyDescent="0.35">
      <c r="A386">
        <v>385</v>
      </c>
      <c r="B386" t="s">
        <v>38</v>
      </c>
      <c r="C386" t="s">
        <v>13</v>
      </c>
      <c r="D386" t="s">
        <v>14</v>
      </c>
      <c r="E386" t="s">
        <v>27</v>
      </c>
      <c r="F386" t="s">
        <v>1146</v>
      </c>
      <c r="G386" t="s">
        <v>1147</v>
      </c>
      <c r="H386" t="s">
        <v>1148</v>
      </c>
      <c r="I386">
        <v>24.35</v>
      </c>
      <c r="J386">
        <v>8.27</v>
      </c>
      <c r="K386">
        <v>9</v>
      </c>
      <c r="L386">
        <v>3</v>
      </c>
    </row>
    <row r="387" spans="1:12" x14ac:dyDescent="0.35">
      <c r="A387">
        <v>386</v>
      </c>
      <c r="B387" t="s">
        <v>38</v>
      </c>
      <c r="C387" t="s">
        <v>13</v>
      </c>
      <c r="D387" t="s">
        <v>31</v>
      </c>
      <c r="E387" t="s">
        <v>27</v>
      </c>
      <c r="F387" t="s">
        <v>1149</v>
      </c>
      <c r="G387" t="s">
        <v>1150</v>
      </c>
      <c r="H387" t="s">
        <v>1151</v>
      </c>
      <c r="I387">
        <v>21.07</v>
      </c>
      <c r="J387">
        <v>9.91</v>
      </c>
      <c r="K387">
        <v>7</v>
      </c>
      <c r="L387">
        <v>3</v>
      </c>
    </row>
    <row r="388" spans="1:12" x14ac:dyDescent="0.35">
      <c r="A388">
        <v>387</v>
      </c>
      <c r="B388" t="s">
        <v>38</v>
      </c>
      <c r="C388" t="s">
        <v>13</v>
      </c>
      <c r="D388" t="s">
        <v>14</v>
      </c>
      <c r="E388" t="s">
        <v>72</v>
      </c>
      <c r="F388" t="s">
        <v>1152</v>
      </c>
      <c r="G388" t="s">
        <v>1153</v>
      </c>
      <c r="H388" t="s">
        <v>1154</v>
      </c>
      <c r="I388">
        <v>14.31</v>
      </c>
      <c r="J388">
        <v>5.85</v>
      </c>
      <c r="K388">
        <v>6</v>
      </c>
      <c r="L388">
        <v>3</v>
      </c>
    </row>
    <row r="389" spans="1:12" x14ac:dyDescent="0.35">
      <c r="A389">
        <v>388</v>
      </c>
      <c r="B389" t="s">
        <v>12</v>
      </c>
      <c r="C389" t="s">
        <v>13</v>
      </c>
      <c r="D389" t="s">
        <v>14</v>
      </c>
      <c r="E389" t="s">
        <v>72</v>
      </c>
      <c r="F389" t="s">
        <v>1155</v>
      </c>
      <c r="G389" t="s">
        <v>1156</v>
      </c>
      <c r="H389" t="s">
        <v>1157</v>
      </c>
      <c r="I389">
        <v>2.93</v>
      </c>
      <c r="J389">
        <v>2.92</v>
      </c>
      <c r="K389">
        <v>2</v>
      </c>
      <c r="L389">
        <v>2</v>
      </c>
    </row>
    <row r="390" spans="1:12" x14ac:dyDescent="0.35">
      <c r="A390">
        <v>389</v>
      </c>
      <c r="B390" t="s">
        <v>22</v>
      </c>
      <c r="C390" t="s">
        <v>13</v>
      </c>
      <c r="D390" t="s">
        <v>14</v>
      </c>
      <c r="E390" t="s">
        <v>72</v>
      </c>
      <c r="F390" t="s">
        <v>1158</v>
      </c>
      <c r="G390" t="s">
        <v>1159</v>
      </c>
      <c r="H390" t="s">
        <v>1160</v>
      </c>
      <c r="I390">
        <v>3.93</v>
      </c>
      <c r="J390">
        <v>4.83</v>
      </c>
      <c r="K390">
        <v>3</v>
      </c>
      <c r="L390">
        <v>3</v>
      </c>
    </row>
    <row r="391" spans="1:12" x14ac:dyDescent="0.35">
      <c r="A391">
        <v>390</v>
      </c>
      <c r="B391" t="s">
        <v>26</v>
      </c>
      <c r="C391" t="s">
        <v>13</v>
      </c>
      <c r="D391" t="s">
        <v>31</v>
      </c>
      <c r="E391" t="s">
        <v>72</v>
      </c>
      <c r="F391" t="s">
        <v>1161</v>
      </c>
      <c r="G391" t="s">
        <v>1162</v>
      </c>
      <c r="H391" t="s">
        <v>1163</v>
      </c>
      <c r="I391">
        <v>11.52</v>
      </c>
      <c r="J391">
        <v>4.6500000000000004</v>
      </c>
      <c r="K391">
        <v>3</v>
      </c>
      <c r="L391">
        <v>1</v>
      </c>
    </row>
    <row r="392" spans="1:12" x14ac:dyDescent="0.35">
      <c r="A392">
        <v>391</v>
      </c>
      <c r="B392" t="s">
        <v>12</v>
      </c>
      <c r="C392" t="s">
        <v>13</v>
      </c>
      <c r="D392" t="s">
        <v>31</v>
      </c>
      <c r="E392" t="s">
        <v>72</v>
      </c>
      <c r="F392" t="s">
        <v>1164</v>
      </c>
      <c r="G392" t="s">
        <v>1165</v>
      </c>
      <c r="H392" t="s">
        <v>1166</v>
      </c>
      <c r="I392">
        <v>8.36</v>
      </c>
      <c r="J392">
        <v>4.9800000000000004</v>
      </c>
      <c r="K392">
        <v>5</v>
      </c>
      <c r="L392">
        <v>2</v>
      </c>
    </row>
    <row r="393" spans="1:12" x14ac:dyDescent="0.35">
      <c r="A393">
        <v>392</v>
      </c>
      <c r="B393" t="s">
        <v>38</v>
      </c>
      <c r="C393" t="s">
        <v>13</v>
      </c>
      <c r="D393" t="s">
        <v>14</v>
      </c>
      <c r="E393" t="s">
        <v>15</v>
      </c>
      <c r="F393" t="s">
        <v>1167</v>
      </c>
      <c r="G393" t="s">
        <v>1168</v>
      </c>
      <c r="H393" t="s">
        <v>1169</v>
      </c>
      <c r="I393">
        <v>35.6</v>
      </c>
      <c r="J393">
        <v>5.15</v>
      </c>
      <c r="K393">
        <v>5</v>
      </c>
      <c r="L393">
        <v>1</v>
      </c>
    </row>
    <row r="394" spans="1:12" x14ac:dyDescent="0.35">
      <c r="A394">
        <v>393</v>
      </c>
      <c r="B394" t="s">
        <v>12</v>
      </c>
      <c r="C394" t="s">
        <v>13</v>
      </c>
      <c r="D394" t="s">
        <v>14</v>
      </c>
      <c r="E394" t="s">
        <v>15</v>
      </c>
      <c r="F394" t="s">
        <v>1170</v>
      </c>
      <c r="G394" t="s">
        <v>1171</v>
      </c>
      <c r="H394" t="s">
        <v>1172</v>
      </c>
      <c r="I394">
        <v>13.34</v>
      </c>
      <c r="J394">
        <v>2.62</v>
      </c>
      <c r="K394">
        <v>10</v>
      </c>
      <c r="L394">
        <v>3</v>
      </c>
    </row>
    <row r="395" spans="1:12" x14ac:dyDescent="0.35">
      <c r="A395">
        <v>394</v>
      </c>
      <c r="B395" t="s">
        <v>38</v>
      </c>
      <c r="C395" t="s">
        <v>13</v>
      </c>
      <c r="D395" t="s">
        <v>31</v>
      </c>
      <c r="E395" t="s">
        <v>27</v>
      </c>
      <c r="F395" t="s">
        <v>1173</v>
      </c>
      <c r="G395" t="s">
        <v>1174</v>
      </c>
      <c r="H395" t="s">
        <v>1175</v>
      </c>
      <c r="I395">
        <v>67.78</v>
      </c>
      <c r="J395">
        <v>10.08</v>
      </c>
      <c r="K395">
        <v>13</v>
      </c>
      <c r="L395">
        <v>2</v>
      </c>
    </row>
    <row r="396" spans="1:12" x14ac:dyDescent="0.35">
      <c r="A396">
        <v>395</v>
      </c>
      <c r="B396" t="s">
        <v>26</v>
      </c>
      <c r="C396" t="s">
        <v>13</v>
      </c>
      <c r="D396" t="s">
        <v>14</v>
      </c>
      <c r="E396" t="s">
        <v>15</v>
      </c>
      <c r="F396" t="s">
        <v>1176</v>
      </c>
      <c r="G396" t="s">
        <v>1177</v>
      </c>
      <c r="H396" t="s">
        <v>1178</v>
      </c>
      <c r="I396">
        <v>27.99</v>
      </c>
      <c r="J396">
        <v>3.34</v>
      </c>
      <c r="K396">
        <v>6</v>
      </c>
      <c r="L396">
        <v>1</v>
      </c>
    </row>
    <row r="397" spans="1:12" x14ac:dyDescent="0.35">
      <c r="A397">
        <v>396</v>
      </c>
      <c r="B397" t="s">
        <v>12</v>
      </c>
      <c r="C397" t="s">
        <v>13</v>
      </c>
      <c r="D397" t="s">
        <v>14</v>
      </c>
      <c r="E397" t="s">
        <v>27</v>
      </c>
      <c r="F397" t="s">
        <v>1179</v>
      </c>
      <c r="G397" t="s">
        <v>1180</v>
      </c>
      <c r="H397" t="s">
        <v>1181</v>
      </c>
      <c r="I397">
        <v>10.039999999999999</v>
      </c>
      <c r="J397">
        <v>4.95</v>
      </c>
      <c r="K397">
        <v>5</v>
      </c>
      <c r="L397">
        <v>2</v>
      </c>
    </row>
    <row r="398" spans="1:12" x14ac:dyDescent="0.35">
      <c r="A398">
        <v>397</v>
      </c>
      <c r="B398" t="s">
        <v>12</v>
      </c>
      <c r="C398" t="s">
        <v>13</v>
      </c>
      <c r="D398" t="s">
        <v>14</v>
      </c>
      <c r="E398" t="s">
        <v>15</v>
      </c>
      <c r="F398" t="s">
        <v>1182</v>
      </c>
      <c r="G398" t="s">
        <v>365</v>
      </c>
      <c r="H398" t="s">
        <v>1183</v>
      </c>
      <c r="I398">
        <v>6.7</v>
      </c>
      <c r="J398">
        <v>3.59</v>
      </c>
      <c r="K398">
        <v>3</v>
      </c>
      <c r="L398">
        <v>2</v>
      </c>
    </row>
    <row r="399" spans="1:12" x14ac:dyDescent="0.35">
      <c r="A399">
        <v>398</v>
      </c>
      <c r="B399" t="s">
        <v>38</v>
      </c>
      <c r="C399" t="s">
        <v>13</v>
      </c>
      <c r="D399" t="s">
        <v>14</v>
      </c>
      <c r="E399" t="s">
        <v>15</v>
      </c>
      <c r="F399" t="s">
        <v>1184</v>
      </c>
      <c r="G399" t="s">
        <v>1185</v>
      </c>
      <c r="H399" t="s">
        <v>1186</v>
      </c>
      <c r="I399">
        <v>21.7</v>
      </c>
      <c r="J399">
        <v>7.67</v>
      </c>
      <c r="K399">
        <v>8</v>
      </c>
      <c r="L399">
        <v>3</v>
      </c>
    </row>
    <row r="400" spans="1:12" x14ac:dyDescent="0.35">
      <c r="A400">
        <v>399</v>
      </c>
      <c r="B400" t="s">
        <v>26</v>
      </c>
      <c r="C400" t="s">
        <v>13</v>
      </c>
      <c r="D400" t="s">
        <v>31</v>
      </c>
      <c r="E400" t="s">
        <v>72</v>
      </c>
      <c r="F400" t="s">
        <v>1187</v>
      </c>
      <c r="G400" t="s">
        <v>1188</v>
      </c>
      <c r="H400" t="s">
        <v>1189</v>
      </c>
      <c r="I400">
        <v>9.06</v>
      </c>
      <c r="J400">
        <v>5.34</v>
      </c>
      <c r="K400">
        <v>4</v>
      </c>
      <c r="L400">
        <v>2</v>
      </c>
    </row>
    <row r="401" spans="1:12" x14ac:dyDescent="0.35">
      <c r="A401">
        <v>400</v>
      </c>
      <c r="B401" t="s">
        <v>12</v>
      </c>
      <c r="C401" t="s">
        <v>13</v>
      </c>
      <c r="D401" t="s">
        <v>14</v>
      </c>
      <c r="E401" t="s">
        <v>27</v>
      </c>
      <c r="F401" t="s">
        <v>643</v>
      </c>
      <c r="G401" t="s">
        <v>1190</v>
      </c>
      <c r="H401" t="s">
        <v>1191</v>
      </c>
      <c r="I401">
        <v>4.99</v>
      </c>
      <c r="J401">
        <v>4.93</v>
      </c>
      <c r="K401">
        <v>1</v>
      </c>
      <c r="L401">
        <v>1</v>
      </c>
    </row>
    <row r="402" spans="1:12" x14ac:dyDescent="0.35">
      <c r="A402">
        <v>401</v>
      </c>
      <c r="B402" t="s">
        <v>26</v>
      </c>
      <c r="C402" t="s">
        <v>13</v>
      </c>
      <c r="D402" t="s">
        <v>14</v>
      </c>
      <c r="E402" t="s">
        <v>27</v>
      </c>
      <c r="F402" t="s">
        <v>1192</v>
      </c>
      <c r="G402" t="s">
        <v>1193</v>
      </c>
      <c r="H402" t="s">
        <v>1194</v>
      </c>
      <c r="I402">
        <v>9.91</v>
      </c>
      <c r="J402">
        <v>5.17</v>
      </c>
      <c r="K402">
        <v>5</v>
      </c>
      <c r="L402">
        <v>3</v>
      </c>
    </row>
    <row r="403" spans="1:12" x14ac:dyDescent="0.35">
      <c r="A403">
        <v>402</v>
      </c>
      <c r="B403" t="s">
        <v>26</v>
      </c>
      <c r="C403" t="s">
        <v>13</v>
      </c>
      <c r="D403" t="s">
        <v>31</v>
      </c>
      <c r="E403" t="s">
        <v>27</v>
      </c>
      <c r="F403" t="s">
        <v>1195</v>
      </c>
      <c r="G403" t="s">
        <v>1196</v>
      </c>
      <c r="H403" t="s">
        <v>1197</v>
      </c>
      <c r="I403">
        <v>6.14</v>
      </c>
      <c r="J403">
        <v>7.13</v>
      </c>
      <c r="K403">
        <v>3</v>
      </c>
      <c r="L403">
        <v>3</v>
      </c>
    </row>
    <row r="404" spans="1:12" x14ac:dyDescent="0.35">
      <c r="A404">
        <v>403</v>
      </c>
      <c r="B404" t="s">
        <v>12</v>
      </c>
      <c r="C404" t="s">
        <v>13</v>
      </c>
      <c r="D404" t="s">
        <v>31</v>
      </c>
      <c r="E404" t="s">
        <v>72</v>
      </c>
      <c r="F404" t="s">
        <v>1198</v>
      </c>
      <c r="G404" t="s">
        <v>1199</v>
      </c>
      <c r="H404" t="s">
        <v>1200</v>
      </c>
      <c r="I404">
        <v>16.010000000000002</v>
      </c>
      <c r="J404">
        <v>5.59</v>
      </c>
      <c r="K404">
        <v>4</v>
      </c>
      <c r="L404">
        <v>1</v>
      </c>
    </row>
    <row r="405" spans="1:12" x14ac:dyDescent="0.35">
      <c r="A405">
        <v>404</v>
      </c>
      <c r="B405" t="s">
        <v>38</v>
      </c>
      <c r="C405" t="s">
        <v>13</v>
      </c>
      <c r="D405" t="s">
        <v>31</v>
      </c>
      <c r="E405" t="s">
        <v>27</v>
      </c>
      <c r="F405" t="s">
        <v>1201</v>
      </c>
      <c r="G405" t="s">
        <v>1202</v>
      </c>
      <c r="H405" t="s">
        <v>1203</v>
      </c>
      <c r="I405">
        <v>71.19</v>
      </c>
      <c r="J405">
        <v>8.01</v>
      </c>
      <c r="K405">
        <v>14</v>
      </c>
      <c r="L405">
        <v>2</v>
      </c>
    </row>
    <row r="406" spans="1:12" x14ac:dyDescent="0.35">
      <c r="A406">
        <v>405</v>
      </c>
      <c r="B406" t="s">
        <v>26</v>
      </c>
      <c r="C406" t="s">
        <v>13</v>
      </c>
      <c r="D406" t="s">
        <v>14</v>
      </c>
      <c r="E406" t="s">
        <v>27</v>
      </c>
      <c r="F406" t="s">
        <v>1204</v>
      </c>
      <c r="G406" t="s">
        <v>1205</v>
      </c>
      <c r="H406" t="s">
        <v>1206</v>
      </c>
      <c r="I406">
        <v>5.54</v>
      </c>
      <c r="J406">
        <v>6.92</v>
      </c>
      <c r="K406">
        <v>5</v>
      </c>
      <c r="L406">
        <v>3</v>
      </c>
    </row>
    <row r="407" spans="1:12" x14ac:dyDescent="0.35">
      <c r="A407">
        <v>406</v>
      </c>
      <c r="B407" t="s">
        <v>26</v>
      </c>
      <c r="C407" t="s">
        <v>13</v>
      </c>
      <c r="D407" t="s">
        <v>14</v>
      </c>
      <c r="E407" t="s">
        <v>15</v>
      </c>
      <c r="F407" t="s">
        <v>1207</v>
      </c>
      <c r="G407" t="s">
        <v>1208</v>
      </c>
      <c r="H407" t="s">
        <v>1209</v>
      </c>
      <c r="I407">
        <v>0.74</v>
      </c>
      <c r="J407">
        <v>4.3</v>
      </c>
      <c r="K407">
        <v>2</v>
      </c>
      <c r="L407">
        <v>3</v>
      </c>
    </row>
    <row r="408" spans="1:12" x14ac:dyDescent="0.35">
      <c r="A408">
        <v>407</v>
      </c>
      <c r="B408" t="s">
        <v>12</v>
      </c>
      <c r="C408" t="s">
        <v>13</v>
      </c>
      <c r="D408" t="s">
        <v>14</v>
      </c>
      <c r="E408" t="s">
        <v>27</v>
      </c>
      <c r="F408" t="s">
        <v>1210</v>
      </c>
      <c r="G408" t="s">
        <v>1211</v>
      </c>
      <c r="H408" t="s">
        <v>1212</v>
      </c>
      <c r="I408">
        <v>0.76</v>
      </c>
      <c r="J408">
        <v>5.3</v>
      </c>
      <c r="K408">
        <v>2</v>
      </c>
      <c r="L408">
        <v>3</v>
      </c>
    </row>
    <row r="409" spans="1:12" x14ac:dyDescent="0.35">
      <c r="A409">
        <v>408</v>
      </c>
      <c r="B409" t="s">
        <v>22</v>
      </c>
      <c r="C409" t="s">
        <v>13</v>
      </c>
      <c r="D409" t="s">
        <v>31</v>
      </c>
      <c r="E409" t="s">
        <v>27</v>
      </c>
      <c r="F409" t="s">
        <v>1213</v>
      </c>
      <c r="G409" t="s">
        <v>1214</v>
      </c>
      <c r="H409" t="s">
        <v>1215</v>
      </c>
      <c r="I409">
        <v>50.17</v>
      </c>
      <c r="J409">
        <v>8.8699999999999992</v>
      </c>
      <c r="K409">
        <v>7</v>
      </c>
      <c r="L409">
        <v>1</v>
      </c>
    </row>
    <row r="410" spans="1:12" x14ac:dyDescent="0.35">
      <c r="A410">
        <v>409</v>
      </c>
      <c r="B410" t="s">
        <v>38</v>
      </c>
      <c r="C410" t="s">
        <v>13</v>
      </c>
      <c r="D410" t="s">
        <v>31</v>
      </c>
      <c r="E410" t="s">
        <v>27</v>
      </c>
      <c r="F410" t="s">
        <v>1216</v>
      </c>
      <c r="G410" t="s">
        <v>1217</v>
      </c>
      <c r="H410" t="s">
        <v>1218</v>
      </c>
      <c r="I410">
        <v>162.38999999999999</v>
      </c>
      <c r="J410">
        <v>11.44</v>
      </c>
      <c r="K410">
        <v>16</v>
      </c>
      <c r="L410">
        <v>1</v>
      </c>
    </row>
    <row r="411" spans="1:12" x14ac:dyDescent="0.35">
      <c r="A411">
        <v>410</v>
      </c>
      <c r="B411" t="s">
        <v>22</v>
      </c>
      <c r="C411" t="s">
        <v>13</v>
      </c>
      <c r="D411" t="s">
        <v>31</v>
      </c>
      <c r="E411" t="s">
        <v>27</v>
      </c>
      <c r="F411" t="s">
        <v>1219</v>
      </c>
      <c r="G411" t="s">
        <v>1220</v>
      </c>
      <c r="H411" t="s">
        <v>969</v>
      </c>
      <c r="I411">
        <v>51.51</v>
      </c>
      <c r="J411">
        <v>8.01</v>
      </c>
      <c r="K411">
        <v>7</v>
      </c>
      <c r="L411">
        <v>1</v>
      </c>
    </row>
    <row r="412" spans="1:12" x14ac:dyDescent="0.35">
      <c r="A412">
        <v>411</v>
      </c>
      <c r="B412" t="s">
        <v>38</v>
      </c>
      <c r="C412" t="s">
        <v>13</v>
      </c>
      <c r="D412" t="s">
        <v>14</v>
      </c>
      <c r="E412" t="s">
        <v>15</v>
      </c>
      <c r="F412" t="s">
        <v>1221</v>
      </c>
      <c r="G412" t="s">
        <v>1222</v>
      </c>
      <c r="H412" t="s">
        <v>1223</v>
      </c>
      <c r="I412">
        <v>61.29</v>
      </c>
      <c r="J412">
        <v>8.51</v>
      </c>
      <c r="K412">
        <v>8</v>
      </c>
      <c r="L412">
        <v>1</v>
      </c>
    </row>
    <row r="413" spans="1:12" x14ac:dyDescent="0.35">
      <c r="A413">
        <v>412</v>
      </c>
      <c r="B413" t="s">
        <v>38</v>
      </c>
      <c r="C413" t="s">
        <v>13</v>
      </c>
      <c r="D413" t="s">
        <v>31</v>
      </c>
      <c r="E413" t="s">
        <v>27</v>
      </c>
      <c r="F413" t="s">
        <v>228</v>
      </c>
      <c r="G413" t="s">
        <v>1224</v>
      </c>
      <c r="H413" t="s">
        <v>1225</v>
      </c>
      <c r="I413">
        <v>26.88</v>
      </c>
      <c r="J413">
        <v>9.34</v>
      </c>
      <c r="K413">
        <v>8</v>
      </c>
      <c r="L413">
        <v>3</v>
      </c>
    </row>
    <row r="414" spans="1:12" x14ac:dyDescent="0.35">
      <c r="A414">
        <v>413</v>
      </c>
      <c r="B414" t="s">
        <v>22</v>
      </c>
      <c r="C414" t="s">
        <v>13</v>
      </c>
      <c r="D414" t="s">
        <v>14</v>
      </c>
      <c r="E414" t="s">
        <v>15</v>
      </c>
      <c r="F414" t="s">
        <v>1226</v>
      </c>
      <c r="G414" t="s">
        <v>1227</v>
      </c>
      <c r="H414" t="s">
        <v>1228</v>
      </c>
      <c r="I414">
        <v>11.29</v>
      </c>
      <c r="J414">
        <v>5.47</v>
      </c>
      <c r="K414">
        <v>5</v>
      </c>
      <c r="L414">
        <v>2</v>
      </c>
    </row>
    <row r="415" spans="1:12" x14ac:dyDescent="0.35">
      <c r="A415">
        <v>414</v>
      </c>
      <c r="B415" t="s">
        <v>38</v>
      </c>
      <c r="C415" t="s">
        <v>13</v>
      </c>
      <c r="D415" t="s">
        <v>31</v>
      </c>
      <c r="E415" t="s">
        <v>27</v>
      </c>
      <c r="F415" t="s">
        <v>1229</v>
      </c>
      <c r="G415" t="s">
        <v>1230</v>
      </c>
      <c r="H415" t="s">
        <v>1231</v>
      </c>
      <c r="I415">
        <v>93.86</v>
      </c>
      <c r="J415">
        <v>10.15</v>
      </c>
      <c r="K415">
        <v>19</v>
      </c>
      <c r="L415">
        <v>2</v>
      </c>
    </row>
    <row r="416" spans="1:12" x14ac:dyDescent="0.35">
      <c r="A416">
        <v>415</v>
      </c>
      <c r="B416" t="s">
        <v>38</v>
      </c>
      <c r="C416" t="s">
        <v>13</v>
      </c>
      <c r="D416" t="s">
        <v>31</v>
      </c>
      <c r="E416" t="s">
        <v>27</v>
      </c>
      <c r="F416" t="s">
        <v>1232</v>
      </c>
      <c r="G416" t="s">
        <v>1233</v>
      </c>
      <c r="H416" t="s">
        <v>1234</v>
      </c>
      <c r="I416">
        <v>51.94</v>
      </c>
      <c r="J416">
        <v>10.96</v>
      </c>
      <c r="K416">
        <v>10</v>
      </c>
      <c r="L416">
        <v>2</v>
      </c>
    </row>
    <row r="417" spans="1:12" x14ac:dyDescent="0.35">
      <c r="A417">
        <v>416</v>
      </c>
      <c r="B417" t="s">
        <v>38</v>
      </c>
      <c r="C417" t="s">
        <v>13</v>
      </c>
      <c r="D417" t="s">
        <v>14</v>
      </c>
      <c r="E417" t="s">
        <v>15</v>
      </c>
      <c r="F417" t="s">
        <v>1235</v>
      </c>
      <c r="G417" t="s">
        <v>1236</v>
      </c>
      <c r="H417" t="s">
        <v>1237</v>
      </c>
      <c r="I417">
        <v>38.33</v>
      </c>
      <c r="J417">
        <v>6.36</v>
      </c>
      <c r="K417">
        <v>5</v>
      </c>
      <c r="L417">
        <v>1</v>
      </c>
    </row>
    <row r="418" spans="1:12" x14ac:dyDescent="0.35">
      <c r="A418">
        <v>417</v>
      </c>
      <c r="B418" t="s">
        <v>26</v>
      </c>
      <c r="C418" t="s">
        <v>13</v>
      </c>
      <c r="D418" t="s">
        <v>14</v>
      </c>
      <c r="E418" t="s">
        <v>72</v>
      </c>
      <c r="F418" t="s">
        <v>1238</v>
      </c>
      <c r="G418" t="s">
        <v>1239</v>
      </c>
      <c r="H418" t="s">
        <v>1240</v>
      </c>
      <c r="I418">
        <v>13.25</v>
      </c>
      <c r="J418">
        <v>3.51</v>
      </c>
      <c r="K418">
        <v>7</v>
      </c>
      <c r="L418">
        <v>2</v>
      </c>
    </row>
    <row r="419" spans="1:12" x14ac:dyDescent="0.35">
      <c r="A419">
        <v>418</v>
      </c>
      <c r="B419" t="s">
        <v>26</v>
      </c>
      <c r="C419" t="s">
        <v>13</v>
      </c>
      <c r="D419" t="s">
        <v>31</v>
      </c>
      <c r="E419" t="s">
        <v>27</v>
      </c>
      <c r="F419" t="s">
        <v>1241</v>
      </c>
      <c r="G419" t="s">
        <v>1242</v>
      </c>
      <c r="H419" t="s">
        <v>1243</v>
      </c>
      <c r="I419">
        <v>9.61</v>
      </c>
      <c r="J419">
        <v>6.17</v>
      </c>
      <c r="K419">
        <v>6</v>
      </c>
      <c r="L419">
        <v>3</v>
      </c>
    </row>
    <row r="420" spans="1:12" x14ac:dyDescent="0.35">
      <c r="A420">
        <v>419</v>
      </c>
      <c r="B420" t="s">
        <v>22</v>
      </c>
      <c r="C420" t="s">
        <v>13</v>
      </c>
      <c r="D420" t="s">
        <v>31</v>
      </c>
      <c r="E420" t="s">
        <v>27</v>
      </c>
      <c r="F420" t="s">
        <v>1244</v>
      </c>
      <c r="G420" t="s">
        <v>1245</v>
      </c>
      <c r="H420" t="s">
        <v>1246</v>
      </c>
      <c r="I420">
        <v>43.4</v>
      </c>
      <c r="J420">
        <v>8.27</v>
      </c>
      <c r="K420">
        <v>6</v>
      </c>
      <c r="L420">
        <v>1</v>
      </c>
    </row>
    <row r="421" spans="1:12" x14ac:dyDescent="0.35">
      <c r="A421">
        <v>420</v>
      </c>
      <c r="B421" t="s">
        <v>26</v>
      </c>
      <c r="C421" t="s">
        <v>13</v>
      </c>
      <c r="D421" t="s">
        <v>31</v>
      </c>
      <c r="E421" t="s">
        <v>27</v>
      </c>
      <c r="F421" t="s">
        <v>1247</v>
      </c>
      <c r="G421" t="s">
        <v>1248</v>
      </c>
      <c r="H421" t="s">
        <v>1249</v>
      </c>
      <c r="I421">
        <v>44.38</v>
      </c>
      <c r="J421">
        <v>6.75</v>
      </c>
      <c r="K421">
        <v>7</v>
      </c>
      <c r="L421">
        <v>1</v>
      </c>
    </row>
    <row r="422" spans="1:12" x14ac:dyDescent="0.35">
      <c r="A422">
        <v>421</v>
      </c>
      <c r="B422" t="s">
        <v>38</v>
      </c>
      <c r="C422" t="s">
        <v>13</v>
      </c>
      <c r="D422" t="s">
        <v>31</v>
      </c>
      <c r="E422" t="s">
        <v>27</v>
      </c>
      <c r="F422" t="s">
        <v>1250</v>
      </c>
      <c r="G422" t="s">
        <v>1251</v>
      </c>
      <c r="H422" t="s">
        <v>1217</v>
      </c>
      <c r="I422">
        <v>15.36</v>
      </c>
      <c r="J422">
        <v>10.039999999999999</v>
      </c>
      <c r="K422">
        <v>5</v>
      </c>
      <c r="L422">
        <v>3</v>
      </c>
    </row>
    <row r="423" spans="1:12" x14ac:dyDescent="0.35">
      <c r="A423">
        <v>422</v>
      </c>
      <c r="B423" t="s">
        <v>22</v>
      </c>
      <c r="C423" t="s">
        <v>13</v>
      </c>
      <c r="D423" t="s">
        <v>14</v>
      </c>
      <c r="E423" t="s">
        <v>15</v>
      </c>
      <c r="F423" t="s">
        <v>1252</v>
      </c>
      <c r="G423" t="s">
        <v>1253</v>
      </c>
      <c r="H423" t="s">
        <v>1254</v>
      </c>
      <c r="I423">
        <v>9.26</v>
      </c>
      <c r="J423">
        <v>7.26</v>
      </c>
      <c r="K423">
        <v>5</v>
      </c>
      <c r="L423">
        <v>3</v>
      </c>
    </row>
    <row r="424" spans="1:12" x14ac:dyDescent="0.35">
      <c r="A424">
        <v>423</v>
      </c>
      <c r="B424" t="s">
        <v>22</v>
      </c>
      <c r="C424" t="s">
        <v>13</v>
      </c>
      <c r="D424" t="s">
        <v>31</v>
      </c>
      <c r="E424" t="s">
        <v>27</v>
      </c>
      <c r="F424" t="s">
        <v>1255</v>
      </c>
      <c r="G424" t="s">
        <v>1256</v>
      </c>
      <c r="H424" t="s">
        <v>1257</v>
      </c>
      <c r="I424">
        <v>24.47</v>
      </c>
      <c r="J424">
        <v>7.47</v>
      </c>
      <c r="K424">
        <v>7</v>
      </c>
      <c r="L424">
        <v>2</v>
      </c>
    </row>
    <row r="425" spans="1:12" x14ac:dyDescent="0.35">
      <c r="A425">
        <v>424</v>
      </c>
      <c r="B425" t="s">
        <v>26</v>
      </c>
      <c r="C425" t="s">
        <v>13</v>
      </c>
      <c r="D425" t="s">
        <v>14</v>
      </c>
      <c r="E425" t="s">
        <v>15</v>
      </c>
      <c r="F425" t="s">
        <v>1258</v>
      </c>
      <c r="G425" t="s">
        <v>1259</v>
      </c>
      <c r="H425" t="s">
        <v>489</v>
      </c>
      <c r="I425">
        <v>2.4500000000000002</v>
      </c>
      <c r="J425">
        <v>6.49</v>
      </c>
      <c r="K425">
        <v>2</v>
      </c>
      <c r="L425">
        <v>3</v>
      </c>
    </row>
    <row r="426" spans="1:12" x14ac:dyDescent="0.35">
      <c r="A426">
        <v>425</v>
      </c>
      <c r="B426" t="s">
        <v>22</v>
      </c>
      <c r="C426" t="s">
        <v>13</v>
      </c>
      <c r="D426" t="s">
        <v>31</v>
      </c>
      <c r="E426" t="s">
        <v>27</v>
      </c>
      <c r="F426" t="s">
        <v>1260</v>
      </c>
      <c r="G426" t="s">
        <v>1261</v>
      </c>
      <c r="H426" t="s">
        <v>1262</v>
      </c>
      <c r="I426">
        <v>29.81</v>
      </c>
      <c r="J426">
        <v>6.5</v>
      </c>
      <c r="K426">
        <v>8</v>
      </c>
      <c r="L426">
        <v>2</v>
      </c>
    </row>
    <row r="427" spans="1:12" x14ac:dyDescent="0.35">
      <c r="A427">
        <v>426</v>
      </c>
      <c r="B427" t="s">
        <v>26</v>
      </c>
      <c r="C427" t="s">
        <v>13</v>
      </c>
      <c r="D427" t="s">
        <v>31</v>
      </c>
      <c r="E427" t="s">
        <v>15</v>
      </c>
      <c r="F427" t="s">
        <v>1263</v>
      </c>
      <c r="G427" t="s">
        <v>1264</v>
      </c>
      <c r="H427" t="s">
        <v>1265</v>
      </c>
      <c r="I427">
        <v>7.37</v>
      </c>
      <c r="J427">
        <v>5.46</v>
      </c>
      <c r="K427">
        <v>3</v>
      </c>
      <c r="L427">
        <v>3</v>
      </c>
    </row>
    <row r="428" spans="1:12" x14ac:dyDescent="0.35">
      <c r="A428">
        <v>427</v>
      </c>
      <c r="B428" t="s">
        <v>12</v>
      </c>
      <c r="C428" t="s">
        <v>13</v>
      </c>
      <c r="D428" t="s">
        <v>14</v>
      </c>
      <c r="E428" t="s">
        <v>72</v>
      </c>
      <c r="F428" t="s">
        <v>1266</v>
      </c>
      <c r="G428" t="s">
        <v>1267</v>
      </c>
      <c r="H428" t="s">
        <v>1268</v>
      </c>
      <c r="I428">
        <v>1.86</v>
      </c>
      <c r="J428">
        <v>3.11</v>
      </c>
      <c r="K428">
        <v>4</v>
      </c>
      <c r="L428">
        <v>3</v>
      </c>
    </row>
    <row r="429" spans="1:12" x14ac:dyDescent="0.35">
      <c r="A429">
        <v>428</v>
      </c>
      <c r="B429" t="s">
        <v>12</v>
      </c>
      <c r="C429" t="s">
        <v>13</v>
      </c>
      <c r="D429" t="s">
        <v>31</v>
      </c>
      <c r="E429" t="s">
        <v>27</v>
      </c>
      <c r="F429" t="s">
        <v>1269</v>
      </c>
      <c r="G429" t="s">
        <v>1270</v>
      </c>
      <c r="H429" t="s">
        <v>220</v>
      </c>
      <c r="I429">
        <v>23.57</v>
      </c>
      <c r="J429">
        <v>4.8</v>
      </c>
      <c r="K429">
        <v>5</v>
      </c>
      <c r="L429">
        <v>1</v>
      </c>
    </row>
    <row r="430" spans="1:12" x14ac:dyDescent="0.35">
      <c r="A430">
        <v>429</v>
      </c>
      <c r="B430" t="s">
        <v>38</v>
      </c>
      <c r="C430" t="s">
        <v>13</v>
      </c>
      <c r="D430" t="s">
        <v>14</v>
      </c>
      <c r="E430" t="s">
        <v>15</v>
      </c>
      <c r="F430" t="s">
        <v>1271</v>
      </c>
      <c r="G430" t="s">
        <v>1272</v>
      </c>
      <c r="H430" t="s">
        <v>1273</v>
      </c>
      <c r="I430">
        <v>27.08</v>
      </c>
      <c r="J430">
        <v>7.63</v>
      </c>
      <c r="K430">
        <v>7</v>
      </c>
      <c r="L430">
        <v>2</v>
      </c>
    </row>
    <row r="431" spans="1:12" x14ac:dyDescent="0.35">
      <c r="A431">
        <v>430</v>
      </c>
      <c r="B431" t="s">
        <v>26</v>
      </c>
      <c r="C431" t="s">
        <v>13</v>
      </c>
      <c r="D431" t="s">
        <v>14</v>
      </c>
      <c r="E431" t="s">
        <v>27</v>
      </c>
      <c r="F431" t="s">
        <v>1274</v>
      </c>
      <c r="G431" t="s">
        <v>1275</v>
      </c>
      <c r="H431" t="s">
        <v>1276</v>
      </c>
      <c r="I431">
        <v>11</v>
      </c>
      <c r="J431">
        <v>5.63</v>
      </c>
      <c r="K431">
        <v>4</v>
      </c>
      <c r="L431">
        <v>2</v>
      </c>
    </row>
    <row r="432" spans="1:12" x14ac:dyDescent="0.35">
      <c r="A432">
        <v>431</v>
      </c>
      <c r="B432" t="s">
        <v>26</v>
      </c>
      <c r="C432" t="s">
        <v>13</v>
      </c>
      <c r="D432" t="s">
        <v>14</v>
      </c>
      <c r="E432" t="s">
        <v>72</v>
      </c>
      <c r="F432" t="s">
        <v>1277</v>
      </c>
      <c r="G432" t="s">
        <v>1278</v>
      </c>
      <c r="H432" t="s">
        <v>1279</v>
      </c>
      <c r="I432">
        <v>4.4000000000000004</v>
      </c>
      <c r="J432">
        <v>2.21</v>
      </c>
      <c r="K432">
        <v>3</v>
      </c>
      <c r="L432">
        <v>2</v>
      </c>
    </row>
    <row r="433" spans="1:12" x14ac:dyDescent="0.35">
      <c r="A433">
        <v>432</v>
      </c>
      <c r="B433" t="s">
        <v>26</v>
      </c>
      <c r="C433" t="s">
        <v>13</v>
      </c>
      <c r="D433" t="s">
        <v>14</v>
      </c>
      <c r="E433" t="s">
        <v>15</v>
      </c>
      <c r="F433" t="s">
        <v>1280</v>
      </c>
      <c r="G433" t="s">
        <v>1281</v>
      </c>
      <c r="H433" t="s">
        <v>1282</v>
      </c>
      <c r="I433">
        <v>18.88</v>
      </c>
      <c r="J433">
        <v>4.2699999999999996</v>
      </c>
      <c r="K433">
        <v>4</v>
      </c>
      <c r="L433">
        <v>1</v>
      </c>
    </row>
    <row r="434" spans="1:12" x14ac:dyDescent="0.35">
      <c r="A434">
        <v>433</v>
      </c>
      <c r="B434" t="s">
        <v>26</v>
      </c>
      <c r="C434" t="s">
        <v>13</v>
      </c>
      <c r="D434" t="s">
        <v>31</v>
      </c>
      <c r="E434" t="s">
        <v>27</v>
      </c>
      <c r="F434" t="s">
        <v>1283</v>
      </c>
      <c r="G434" t="s">
        <v>1284</v>
      </c>
      <c r="H434" t="s">
        <v>1285</v>
      </c>
      <c r="I434">
        <v>8.34</v>
      </c>
      <c r="J434">
        <v>4.66</v>
      </c>
      <c r="K434">
        <v>4</v>
      </c>
      <c r="L434">
        <v>3</v>
      </c>
    </row>
    <row r="435" spans="1:12" x14ac:dyDescent="0.35">
      <c r="A435">
        <v>434</v>
      </c>
      <c r="B435" t="s">
        <v>12</v>
      </c>
      <c r="C435" t="s">
        <v>13</v>
      </c>
      <c r="D435" t="s">
        <v>14</v>
      </c>
      <c r="E435" t="s">
        <v>27</v>
      </c>
      <c r="F435" t="s">
        <v>1286</v>
      </c>
      <c r="G435" t="s">
        <v>1287</v>
      </c>
      <c r="H435" t="s">
        <v>1288</v>
      </c>
      <c r="I435">
        <v>44.4</v>
      </c>
      <c r="J435">
        <v>6.37</v>
      </c>
      <c r="K435">
        <v>10</v>
      </c>
      <c r="L435">
        <v>1</v>
      </c>
    </row>
    <row r="436" spans="1:12" x14ac:dyDescent="0.35">
      <c r="A436">
        <v>435</v>
      </c>
      <c r="B436" t="s">
        <v>22</v>
      </c>
      <c r="C436" t="s">
        <v>13</v>
      </c>
      <c r="D436" t="s">
        <v>14</v>
      </c>
      <c r="E436" t="s">
        <v>15</v>
      </c>
      <c r="F436" t="s">
        <v>1289</v>
      </c>
      <c r="G436" t="s">
        <v>1290</v>
      </c>
      <c r="H436" t="s">
        <v>1291</v>
      </c>
      <c r="I436">
        <v>17.829999999999998</v>
      </c>
      <c r="J436">
        <v>5.48</v>
      </c>
      <c r="K436">
        <v>7</v>
      </c>
      <c r="L436">
        <v>2</v>
      </c>
    </row>
    <row r="437" spans="1:12" x14ac:dyDescent="0.35">
      <c r="A437">
        <v>436</v>
      </c>
      <c r="B437" t="s">
        <v>26</v>
      </c>
      <c r="C437" t="s">
        <v>13</v>
      </c>
      <c r="D437" t="s">
        <v>14</v>
      </c>
      <c r="E437" t="s">
        <v>27</v>
      </c>
      <c r="F437" t="s">
        <v>1292</v>
      </c>
      <c r="G437" t="s">
        <v>1293</v>
      </c>
      <c r="H437" t="s">
        <v>1294</v>
      </c>
      <c r="I437">
        <v>12.66</v>
      </c>
      <c r="J437">
        <v>4.51</v>
      </c>
      <c r="K437">
        <v>6</v>
      </c>
      <c r="L437">
        <v>3</v>
      </c>
    </row>
    <row r="438" spans="1:12" x14ac:dyDescent="0.35">
      <c r="A438">
        <v>437</v>
      </c>
      <c r="B438" t="s">
        <v>26</v>
      </c>
      <c r="C438" t="s">
        <v>13</v>
      </c>
      <c r="D438" t="s">
        <v>31</v>
      </c>
      <c r="E438" t="s">
        <v>72</v>
      </c>
      <c r="F438" t="s">
        <v>1295</v>
      </c>
      <c r="G438" t="s">
        <v>1296</v>
      </c>
      <c r="H438" t="s">
        <v>1297</v>
      </c>
      <c r="I438">
        <v>21.67</v>
      </c>
      <c r="J438">
        <v>5.87</v>
      </c>
      <c r="K438">
        <v>8</v>
      </c>
      <c r="L438">
        <v>2</v>
      </c>
    </row>
    <row r="439" spans="1:12" x14ac:dyDescent="0.35">
      <c r="A439">
        <v>438</v>
      </c>
      <c r="B439" t="s">
        <v>26</v>
      </c>
      <c r="C439" t="s">
        <v>13</v>
      </c>
      <c r="D439" t="s">
        <v>14</v>
      </c>
      <c r="E439" t="s">
        <v>15</v>
      </c>
      <c r="F439" t="s">
        <v>1298</v>
      </c>
      <c r="G439" t="s">
        <v>1299</v>
      </c>
      <c r="H439" t="s">
        <v>1300</v>
      </c>
      <c r="I439">
        <v>5.0599999999999996</v>
      </c>
      <c r="J439">
        <v>3.57</v>
      </c>
      <c r="K439">
        <v>4</v>
      </c>
      <c r="L439">
        <v>3</v>
      </c>
    </row>
    <row r="440" spans="1:12" x14ac:dyDescent="0.35">
      <c r="A440">
        <v>439</v>
      </c>
      <c r="B440" t="s">
        <v>12</v>
      </c>
      <c r="C440" t="s">
        <v>13</v>
      </c>
      <c r="D440" t="s">
        <v>14</v>
      </c>
      <c r="E440" t="s">
        <v>15</v>
      </c>
      <c r="F440" t="s">
        <v>1301</v>
      </c>
      <c r="G440" t="s">
        <v>1302</v>
      </c>
      <c r="H440" t="s">
        <v>1303</v>
      </c>
      <c r="I440">
        <v>14.32</v>
      </c>
      <c r="J440">
        <v>3.55</v>
      </c>
      <c r="K440">
        <v>3</v>
      </c>
      <c r="L440">
        <v>1</v>
      </c>
    </row>
    <row r="441" spans="1:12" x14ac:dyDescent="0.35">
      <c r="A441">
        <v>440</v>
      </c>
      <c r="B441" t="s">
        <v>26</v>
      </c>
      <c r="C441" t="s">
        <v>13</v>
      </c>
      <c r="D441" t="s">
        <v>14</v>
      </c>
      <c r="E441" t="s">
        <v>27</v>
      </c>
      <c r="F441" t="s">
        <v>1304</v>
      </c>
      <c r="G441" t="s">
        <v>1305</v>
      </c>
      <c r="H441" t="s">
        <v>621</v>
      </c>
      <c r="I441">
        <v>6.1</v>
      </c>
      <c r="J441">
        <v>5.54</v>
      </c>
      <c r="K441">
        <v>3</v>
      </c>
      <c r="L441">
        <v>2</v>
      </c>
    </row>
    <row r="442" spans="1:12" x14ac:dyDescent="0.35">
      <c r="A442">
        <v>441</v>
      </c>
      <c r="B442" t="s">
        <v>26</v>
      </c>
      <c r="C442" t="s">
        <v>13</v>
      </c>
      <c r="D442" t="s">
        <v>31</v>
      </c>
      <c r="E442" t="s">
        <v>15</v>
      </c>
      <c r="F442" t="s">
        <v>1306</v>
      </c>
      <c r="G442" t="s">
        <v>1307</v>
      </c>
      <c r="H442" t="s">
        <v>1308</v>
      </c>
      <c r="I442">
        <v>11.78</v>
      </c>
      <c r="J442">
        <v>5.16</v>
      </c>
      <c r="K442">
        <v>4</v>
      </c>
      <c r="L442">
        <v>2</v>
      </c>
    </row>
    <row r="443" spans="1:12" x14ac:dyDescent="0.35">
      <c r="A443">
        <v>442</v>
      </c>
      <c r="B443" t="s">
        <v>22</v>
      </c>
      <c r="C443" t="s">
        <v>13</v>
      </c>
      <c r="D443" t="s">
        <v>31</v>
      </c>
      <c r="E443" t="s">
        <v>15</v>
      </c>
      <c r="F443" t="s">
        <v>1309</v>
      </c>
      <c r="G443" t="s">
        <v>1310</v>
      </c>
      <c r="H443" t="s">
        <v>1311</v>
      </c>
      <c r="I443">
        <v>6.45</v>
      </c>
      <c r="J443">
        <v>7.53</v>
      </c>
      <c r="K443">
        <v>3</v>
      </c>
      <c r="L443">
        <v>2</v>
      </c>
    </row>
    <row r="444" spans="1:12" x14ac:dyDescent="0.35">
      <c r="A444">
        <v>443</v>
      </c>
      <c r="B444" t="s">
        <v>12</v>
      </c>
      <c r="C444" t="s">
        <v>13</v>
      </c>
      <c r="D444" t="s">
        <v>14</v>
      </c>
      <c r="E444" t="s">
        <v>27</v>
      </c>
      <c r="F444" t="s">
        <v>1312</v>
      </c>
      <c r="G444" t="s">
        <v>1313</v>
      </c>
      <c r="H444" t="s">
        <v>1314</v>
      </c>
      <c r="I444">
        <v>2.02</v>
      </c>
      <c r="J444">
        <v>5.55</v>
      </c>
      <c r="K444">
        <v>2</v>
      </c>
      <c r="L444">
        <v>3</v>
      </c>
    </row>
    <row r="445" spans="1:12" x14ac:dyDescent="0.35">
      <c r="A445">
        <v>444</v>
      </c>
      <c r="B445" t="s">
        <v>22</v>
      </c>
      <c r="C445" t="s">
        <v>13</v>
      </c>
      <c r="D445" t="s">
        <v>31</v>
      </c>
      <c r="E445" t="s">
        <v>27</v>
      </c>
      <c r="F445" t="s">
        <v>1315</v>
      </c>
      <c r="G445" t="s">
        <v>1316</v>
      </c>
      <c r="H445" t="s">
        <v>1317</v>
      </c>
      <c r="I445">
        <v>24.21</v>
      </c>
      <c r="J445">
        <v>7.8</v>
      </c>
      <c r="K445">
        <v>7</v>
      </c>
      <c r="L445">
        <v>2</v>
      </c>
    </row>
    <row r="446" spans="1:12" x14ac:dyDescent="0.35">
      <c r="A446">
        <v>445</v>
      </c>
      <c r="B446" t="s">
        <v>22</v>
      </c>
      <c r="C446" t="s">
        <v>13</v>
      </c>
      <c r="D446" t="s">
        <v>31</v>
      </c>
      <c r="E446" t="s">
        <v>15</v>
      </c>
      <c r="F446" t="s">
        <v>1318</v>
      </c>
      <c r="G446" t="s">
        <v>1319</v>
      </c>
      <c r="H446" t="s">
        <v>1320</v>
      </c>
      <c r="I446">
        <v>16.48</v>
      </c>
      <c r="J446">
        <v>5.66</v>
      </c>
      <c r="K446">
        <v>5</v>
      </c>
      <c r="L446">
        <v>2</v>
      </c>
    </row>
    <row r="447" spans="1:12" x14ac:dyDescent="0.35">
      <c r="A447">
        <v>446</v>
      </c>
      <c r="B447" t="s">
        <v>38</v>
      </c>
      <c r="C447" t="s">
        <v>13</v>
      </c>
      <c r="D447" t="s">
        <v>14</v>
      </c>
      <c r="E447" t="s">
        <v>72</v>
      </c>
      <c r="F447" t="s">
        <v>1321</v>
      </c>
      <c r="G447" t="s">
        <v>1322</v>
      </c>
      <c r="H447" t="s">
        <v>1323</v>
      </c>
      <c r="I447">
        <v>11.85</v>
      </c>
      <c r="J447">
        <v>5.72</v>
      </c>
      <c r="K447">
        <v>5</v>
      </c>
      <c r="L447">
        <v>3</v>
      </c>
    </row>
    <row r="448" spans="1:12" x14ac:dyDescent="0.35">
      <c r="A448">
        <v>447</v>
      </c>
      <c r="B448" t="s">
        <v>12</v>
      </c>
      <c r="C448" t="s">
        <v>13</v>
      </c>
      <c r="D448" t="s">
        <v>31</v>
      </c>
      <c r="E448" t="s">
        <v>72</v>
      </c>
      <c r="F448" t="s">
        <v>1324</v>
      </c>
      <c r="G448" t="s">
        <v>1325</v>
      </c>
      <c r="H448" t="s">
        <v>1326</v>
      </c>
      <c r="I448">
        <v>2.64</v>
      </c>
      <c r="J448">
        <v>2.57</v>
      </c>
      <c r="K448">
        <v>2</v>
      </c>
      <c r="L448">
        <v>2</v>
      </c>
    </row>
    <row r="449" spans="1:12" x14ac:dyDescent="0.35">
      <c r="A449">
        <v>448</v>
      </c>
      <c r="B449" t="s">
        <v>26</v>
      </c>
      <c r="C449" t="s">
        <v>13</v>
      </c>
      <c r="D449" t="s">
        <v>31</v>
      </c>
      <c r="E449" t="s">
        <v>15</v>
      </c>
      <c r="F449" t="s">
        <v>1327</v>
      </c>
      <c r="G449" t="s">
        <v>1328</v>
      </c>
      <c r="H449" t="s">
        <v>1329</v>
      </c>
      <c r="I449">
        <v>15.35</v>
      </c>
      <c r="J449">
        <v>4.17</v>
      </c>
      <c r="K449">
        <v>6</v>
      </c>
      <c r="L449">
        <v>2</v>
      </c>
    </row>
    <row r="450" spans="1:12" x14ac:dyDescent="0.35">
      <c r="A450">
        <v>449</v>
      </c>
      <c r="B450" t="s">
        <v>26</v>
      </c>
      <c r="C450" t="s">
        <v>13</v>
      </c>
      <c r="D450" t="s">
        <v>14</v>
      </c>
      <c r="E450" t="s">
        <v>72</v>
      </c>
      <c r="F450" t="s">
        <v>1330</v>
      </c>
      <c r="G450" t="s">
        <v>1331</v>
      </c>
      <c r="H450" t="s">
        <v>1332</v>
      </c>
      <c r="I450">
        <v>7.86</v>
      </c>
      <c r="J450">
        <v>3.58</v>
      </c>
      <c r="K450">
        <v>2</v>
      </c>
      <c r="L450">
        <v>1</v>
      </c>
    </row>
    <row r="451" spans="1:12" x14ac:dyDescent="0.35">
      <c r="A451">
        <v>450</v>
      </c>
      <c r="B451" t="s">
        <v>38</v>
      </c>
      <c r="C451" t="s">
        <v>13</v>
      </c>
      <c r="D451" t="s">
        <v>14</v>
      </c>
      <c r="E451" t="s">
        <v>27</v>
      </c>
      <c r="F451" t="s">
        <v>1333</v>
      </c>
      <c r="G451" t="s">
        <v>1334</v>
      </c>
      <c r="H451" t="s">
        <v>1335</v>
      </c>
      <c r="I451">
        <v>77.510000000000005</v>
      </c>
      <c r="J451">
        <v>8.9700000000000006</v>
      </c>
      <c r="K451">
        <v>9</v>
      </c>
      <c r="L451">
        <v>1</v>
      </c>
    </row>
    <row r="452" spans="1:12" x14ac:dyDescent="0.35">
      <c r="A452">
        <v>451</v>
      </c>
      <c r="B452" t="s">
        <v>26</v>
      </c>
      <c r="C452" t="s">
        <v>13</v>
      </c>
      <c r="D452" t="s">
        <v>31</v>
      </c>
      <c r="E452" t="s">
        <v>15</v>
      </c>
      <c r="F452" t="s">
        <v>1336</v>
      </c>
      <c r="G452" t="s">
        <v>1337</v>
      </c>
      <c r="H452" t="s">
        <v>1338</v>
      </c>
      <c r="I452">
        <v>20.66</v>
      </c>
      <c r="J452">
        <v>7.35</v>
      </c>
      <c r="K452">
        <v>7</v>
      </c>
      <c r="L452">
        <v>2</v>
      </c>
    </row>
    <row r="453" spans="1:12" x14ac:dyDescent="0.35">
      <c r="A453">
        <v>452</v>
      </c>
      <c r="B453" t="s">
        <v>38</v>
      </c>
      <c r="C453" t="s">
        <v>13</v>
      </c>
      <c r="D453" t="s">
        <v>14</v>
      </c>
      <c r="E453" t="s">
        <v>15</v>
      </c>
      <c r="F453" t="s">
        <v>1339</v>
      </c>
      <c r="G453" t="s">
        <v>1340</v>
      </c>
      <c r="H453" t="s">
        <v>1341</v>
      </c>
      <c r="I453">
        <v>33.92</v>
      </c>
      <c r="J453">
        <v>7.9</v>
      </c>
      <c r="K453">
        <v>9</v>
      </c>
      <c r="L453">
        <v>2</v>
      </c>
    </row>
    <row r="454" spans="1:12" x14ac:dyDescent="0.35">
      <c r="A454">
        <v>453</v>
      </c>
      <c r="B454" t="s">
        <v>12</v>
      </c>
      <c r="C454" t="s">
        <v>13</v>
      </c>
      <c r="D454" t="s">
        <v>14</v>
      </c>
      <c r="E454" t="s">
        <v>27</v>
      </c>
      <c r="F454" t="s">
        <v>1342</v>
      </c>
      <c r="G454" t="s">
        <v>1343</v>
      </c>
      <c r="H454" t="s">
        <v>1344</v>
      </c>
      <c r="I454">
        <v>5.4</v>
      </c>
      <c r="J454">
        <v>3.87</v>
      </c>
      <c r="K454">
        <v>3</v>
      </c>
      <c r="L454">
        <v>2</v>
      </c>
    </row>
    <row r="455" spans="1:12" x14ac:dyDescent="0.35">
      <c r="A455">
        <v>454</v>
      </c>
      <c r="B455" t="s">
        <v>12</v>
      </c>
      <c r="C455" t="s">
        <v>13</v>
      </c>
      <c r="D455" t="s">
        <v>31</v>
      </c>
      <c r="E455" t="s">
        <v>72</v>
      </c>
      <c r="F455" t="s">
        <v>1345</v>
      </c>
      <c r="G455" t="s">
        <v>1346</v>
      </c>
      <c r="H455" t="s">
        <v>1347</v>
      </c>
      <c r="I455">
        <v>4.92</v>
      </c>
      <c r="J455">
        <v>5.09</v>
      </c>
      <c r="K455">
        <v>4</v>
      </c>
      <c r="L455">
        <v>3</v>
      </c>
    </row>
    <row r="456" spans="1:12" x14ac:dyDescent="0.35">
      <c r="A456">
        <v>455</v>
      </c>
      <c r="B456" t="s">
        <v>38</v>
      </c>
      <c r="C456" t="s">
        <v>13</v>
      </c>
      <c r="D456" t="s">
        <v>31</v>
      </c>
      <c r="E456" t="s">
        <v>72</v>
      </c>
      <c r="F456" t="s">
        <v>1348</v>
      </c>
      <c r="G456" t="s">
        <v>1349</v>
      </c>
      <c r="H456" t="s">
        <v>1350</v>
      </c>
      <c r="I456">
        <v>80.06</v>
      </c>
      <c r="J456">
        <v>8.5</v>
      </c>
      <c r="K456">
        <v>10</v>
      </c>
      <c r="L456">
        <v>1</v>
      </c>
    </row>
    <row r="457" spans="1:12" x14ac:dyDescent="0.35">
      <c r="A457">
        <v>456</v>
      </c>
      <c r="B457" t="s">
        <v>12</v>
      </c>
      <c r="C457" t="s">
        <v>13</v>
      </c>
      <c r="D457" t="s">
        <v>31</v>
      </c>
      <c r="E457" t="s">
        <v>15</v>
      </c>
      <c r="F457" t="s">
        <v>1351</v>
      </c>
      <c r="G457" t="s">
        <v>1352</v>
      </c>
      <c r="H457" t="s">
        <v>1353</v>
      </c>
      <c r="I457">
        <v>11.27</v>
      </c>
      <c r="J457">
        <v>5.16</v>
      </c>
      <c r="K457">
        <v>2</v>
      </c>
      <c r="L457">
        <v>1</v>
      </c>
    </row>
    <row r="458" spans="1:12" x14ac:dyDescent="0.35">
      <c r="A458">
        <v>457</v>
      </c>
      <c r="B458" t="s">
        <v>38</v>
      </c>
      <c r="C458" t="s">
        <v>13</v>
      </c>
      <c r="D458" t="s">
        <v>31</v>
      </c>
      <c r="E458" t="s">
        <v>27</v>
      </c>
      <c r="F458" t="s">
        <v>1354</v>
      </c>
      <c r="G458" t="s">
        <v>1355</v>
      </c>
      <c r="H458" t="s">
        <v>1356</v>
      </c>
      <c r="I458">
        <v>26.73</v>
      </c>
      <c r="J458">
        <v>10.67</v>
      </c>
      <c r="K458">
        <v>8</v>
      </c>
      <c r="L458">
        <v>3</v>
      </c>
    </row>
    <row r="459" spans="1:12" x14ac:dyDescent="0.35">
      <c r="A459">
        <v>458</v>
      </c>
      <c r="B459" t="s">
        <v>12</v>
      </c>
      <c r="C459" t="s">
        <v>13</v>
      </c>
      <c r="D459" t="s">
        <v>14</v>
      </c>
      <c r="E459" t="s">
        <v>27</v>
      </c>
      <c r="F459" t="s">
        <v>1357</v>
      </c>
      <c r="G459" t="s">
        <v>1358</v>
      </c>
      <c r="H459" t="s">
        <v>1359</v>
      </c>
      <c r="I459">
        <v>1.24</v>
      </c>
      <c r="J459">
        <v>4.2300000000000004</v>
      </c>
      <c r="K459">
        <v>1</v>
      </c>
      <c r="L459">
        <v>3</v>
      </c>
    </row>
    <row r="460" spans="1:12" x14ac:dyDescent="0.35">
      <c r="A460">
        <v>459</v>
      </c>
      <c r="B460" t="s">
        <v>22</v>
      </c>
      <c r="C460" t="s">
        <v>13</v>
      </c>
      <c r="D460" t="s">
        <v>14</v>
      </c>
      <c r="E460" t="s">
        <v>72</v>
      </c>
      <c r="F460" t="s">
        <v>1360</v>
      </c>
      <c r="G460" t="s">
        <v>1361</v>
      </c>
      <c r="H460" t="s">
        <v>1362</v>
      </c>
      <c r="I460">
        <v>7.08</v>
      </c>
      <c r="J460">
        <v>4.6900000000000004</v>
      </c>
      <c r="K460">
        <v>2</v>
      </c>
      <c r="L460">
        <v>1</v>
      </c>
    </row>
    <row r="461" spans="1:12" x14ac:dyDescent="0.35">
      <c r="A461">
        <v>460</v>
      </c>
      <c r="B461" t="s">
        <v>26</v>
      </c>
      <c r="C461" t="s">
        <v>13</v>
      </c>
      <c r="D461" t="s">
        <v>31</v>
      </c>
      <c r="E461" t="s">
        <v>72</v>
      </c>
      <c r="F461" t="s">
        <v>1363</v>
      </c>
      <c r="G461" t="s">
        <v>1364</v>
      </c>
      <c r="H461" t="s">
        <v>1365</v>
      </c>
      <c r="I461">
        <v>12.02</v>
      </c>
      <c r="J461">
        <v>7.67</v>
      </c>
      <c r="K461">
        <v>5</v>
      </c>
      <c r="L461">
        <v>2</v>
      </c>
    </row>
    <row r="462" spans="1:12" x14ac:dyDescent="0.35">
      <c r="A462">
        <v>461</v>
      </c>
      <c r="B462" t="s">
        <v>26</v>
      </c>
      <c r="C462" t="s">
        <v>13</v>
      </c>
      <c r="D462" t="s">
        <v>14</v>
      </c>
      <c r="E462" t="s">
        <v>15</v>
      </c>
      <c r="F462" t="s">
        <v>1366</v>
      </c>
      <c r="G462" t="s">
        <v>1367</v>
      </c>
      <c r="H462" t="s">
        <v>1368</v>
      </c>
      <c r="I462">
        <v>0.5</v>
      </c>
      <c r="J462">
        <v>5.66</v>
      </c>
      <c r="K462">
        <v>1</v>
      </c>
      <c r="L462">
        <v>3</v>
      </c>
    </row>
    <row r="463" spans="1:12" x14ac:dyDescent="0.35">
      <c r="A463">
        <v>462</v>
      </c>
      <c r="B463" t="s">
        <v>38</v>
      </c>
      <c r="C463" t="s">
        <v>13</v>
      </c>
      <c r="D463" t="s">
        <v>31</v>
      </c>
      <c r="E463" t="s">
        <v>27</v>
      </c>
      <c r="F463" t="s">
        <v>1369</v>
      </c>
      <c r="G463" t="s">
        <v>1370</v>
      </c>
      <c r="H463" t="s">
        <v>1371</v>
      </c>
      <c r="I463">
        <v>152.76</v>
      </c>
      <c r="J463">
        <v>9.41</v>
      </c>
      <c r="K463">
        <v>15</v>
      </c>
      <c r="L463">
        <v>1</v>
      </c>
    </row>
    <row r="464" spans="1:12" x14ac:dyDescent="0.35">
      <c r="A464">
        <v>463</v>
      </c>
      <c r="B464" t="s">
        <v>12</v>
      </c>
      <c r="C464" t="s">
        <v>13</v>
      </c>
      <c r="D464" t="s">
        <v>31</v>
      </c>
      <c r="E464" t="s">
        <v>15</v>
      </c>
      <c r="F464" t="s">
        <v>1372</v>
      </c>
      <c r="G464" t="s">
        <v>1373</v>
      </c>
      <c r="H464" t="s">
        <v>1374</v>
      </c>
      <c r="I464">
        <v>13.17</v>
      </c>
      <c r="J464">
        <v>4.12</v>
      </c>
      <c r="K464">
        <v>9</v>
      </c>
      <c r="L464">
        <v>3</v>
      </c>
    </row>
    <row r="465" spans="1:12" x14ac:dyDescent="0.35">
      <c r="A465">
        <v>464</v>
      </c>
      <c r="B465" t="s">
        <v>26</v>
      </c>
      <c r="C465" t="s">
        <v>13</v>
      </c>
      <c r="D465" t="s">
        <v>14</v>
      </c>
      <c r="E465" t="s">
        <v>27</v>
      </c>
      <c r="F465" t="s">
        <v>1375</v>
      </c>
      <c r="G465" t="s">
        <v>1376</v>
      </c>
      <c r="H465" t="s">
        <v>1377</v>
      </c>
      <c r="I465">
        <v>6.44</v>
      </c>
      <c r="J465">
        <v>6.37</v>
      </c>
      <c r="K465">
        <v>3</v>
      </c>
      <c r="L465">
        <v>2</v>
      </c>
    </row>
    <row r="466" spans="1:12" x14ac:dyDescent="0.35">
      <c r="A466">
        <v>465</v>
      </c>
      <c r="B466" t="s">
        <v>38</v>
      </c>
      <c r="C466" t="s">
        <v>13</v>
      </c>
      <c r="D466" t="s">
        <v>31</v>
      </c>
      <c r="E466" t="s">
        <v>15</v>
      </c>
      <c r="F466" t="s">
        <v>1378</v>
      </c>
      <c r="G466" t="s">
        <v>1379</v>
      </c>
      <c r="H466" t="s">
        <v>1380</v>
      </c>
      <c r="I466">
        <v>38.18</v>
      </c>
      <c r="J466">
        <v>8.31</v>
      </c>
      <c r="K466">
        <v>8</v>
      </c>
      <c r="L466">
        <v>2</v>
      </c>
    </row>
    <row r="467" spans="1:12" x14ac:dyDescent="0.35">
      <c r="A467">
        <v>466</v>
      </c>
      <c r="B467" t="s">
        <v>38</v>
      </c>
      <c r="C467" t="s">
        <v>13</v>
      </c>
      <c r="D467" t="s">
        <v>14</v>
      </c>
      <c r="E467" t="s">
        <v>72</v>
      </c>
      <c r="F467" t="s">
        <v>1381</v>
      </c>
      <c r="G467" t="s">
        <v>1382</v>
      </c>
      <c r="H467" t="s">
        <v>1383</v>
      </c>
      <c r="I467">
        <v>5.13</v>
      </c>
      <c r="J467">
        <v>7.86</v>
      </c>
      <c r="K467">
        <v>2</v>
      </c>
      <c r="L467">
        <v>2</v>
      </c>
    </row>
    <row r="468" spans="1:12" x14ac:dyDescent="0.35">
      <c r="A468">
        <v>467</v>
      </c>
      <c r="B468" t="s">
        <v>12</v>
      </c>
      <c r="C468" t="s">
        <v>13</v>
      </c>
      <c r="D468" t="s">
        <v>14</v>
      </c>
      <c r="E468" t="s">
        <v>72</v>
      </c>
      <c r="F468" t="s">
        <v>1384</v>
      </c>
      <c r="G468" t="s">
        <v>1385</v>
      </c>
      <c r="H468" t="s">
        <v>1386</v>
      </c>
      <c r="I468">
        <v>3.51</v>
      </c>
      <c r="J468">
        <v>3.63</v>
      </c>
      <c r="K468">
        <v>1</v>
      </c>
      <c r="L468">
        <v>2</v>
      </c>
    </row>
    <row r="469" spans="1:12" x14ac:dyDescent="0.35">
      <c r="A469">
        <v>468</v>
      </c>
      <c r="B469" t="s">
        <v>22</v>
      </c>
      <c r="C469" t="s">
        <v>13</v>
      </c>
      <c r="D469" t="s">
        <v>14</v>
      </c>
      <c r="E469" t="s">
        <v>15</v>
      </c>
      <c r="F469" t="s">
        <v>1387</v>
      </c>
      <c r="G469" t="s">
        <v>1388</v>
      </c>
      <c r="H469" t="s">
        <v>1389</v>
      </c>
      <c r="I469">
        <v>10.6</v>
      </c>
      <c r="J469">
        <v>6.68</v>
      </c>
      <c r="K469">
        <v>5</v>
      </c>
      <c r="L469">
        <v>2</v>
      </c>
    </row>
    <row r="470" spans="1:12" x14ac:dyDescent="0.35">
      <c r="A470">
        <v>469</v>
      </c>
      <c r="B470" t="s">
        <v>12</v>
      </c>
      <c r="C470" t="s">
        <v>13</v>
      </c>
      <c r="D470" t="s">
        <v>31</v>
      </c>
      <c r="E470" t="s">
        <v>27</v>
      </c>
      <c r="F470" t="s">
        <v>1390</v>
      </c>
      <c r="G470" t="s">
        <v>1391</v>
      </c>
      <c r="H470" t="s">
        <v>1392</v>
      </c>
      <c r="I470">
        <v>7.59</v>
      </c>
      <c r="J470">
        <v>2.97</v>
      </c>
      <c r="K470">
        <v>3</v>
      </c>
      <c r="L470">
        <v>3</v>
      </c>
    </row>
    <row r="471" spans="1:12" x14ac:dyDescent="0.35">
      <c r="A471">
        <v>470</v>
      </c>
      <c r="B471" t="s">
        <v>22</v>
      </c>
      <c r="C471" t="s">
        <v>13</v>
      </c>
      <c r="D471" t="s">
        <v>14</v>
      </c>
      <c r="E471" t="s">
        <v>27</v>
      </c>
      <c r="F471" t="s">
        <v>1393</v>
      </c>
      <c r="G471" t="s">
        <v>1394</v>
      </c>
      <c r="H471" t="s">
        <v>170</v>
      </c>
      <c r="I471">
        <v>53.16</v>
      </c>
      <c r="J471">
        <v>4.91</v>
      </c>
      <c r="K471">
        <v>9</v>
      </c>
      <c r="L471">
        <v>1</v>
      </c>
    </row>
    <row r="472" spans="1:12" x14ac:dyDescent="0.35">
      <c r="A472">
        <v>471</v>
      </c>
      <c r="B472" t="s">
        <v>26</v>
      </c>
      <c r="C472" t="s">
        <v>13</v>
      </c>
      <c r="D472" t="s">
        <v>14</v>
      </c>
      <c r="E472" t="s">
        <v>15</v>
      </c>
      <c r="F472" t="s">
        <v>1395</v>
      </c>
      <c r="G472" t="s">
        <v>1396</v>
      </c>
      <c r="H472" t="s">
        <v>1397</v>
      </c>
      <c r="I472">
        <v>14.33</v>
      </c>
      <c r="J472">
        <v>5.05</v>
      </c>
      <c r="K472">
        <v>7</v>
      </c>
      <c r="L472">
        <v>2</v>
      </c>
    </row>
    <row r="473" spans="1:12" x14ac:dyDescent="0.35">
      <c r="A473">
        <v>472</v>
      </c>
      <c r="B473" t="s">
        <v>12</v>
      </c>
      <c r="C473" t="s">
        <v>13</v>
      </c>
      <c r="D473" t="s">
        <v>14</v>
      </c>
      <c r="E473" t="s">
        <v>15</v>
      </c>
      <c r="F473" t="s">
        <v>1398</v>
      </c>
      <c r="G473" t="s">
        <v>521</v>
      </c>
      <c r="H473" t="s">
        <v>1399</v>
      </c>
      <c r="I473">
        <v>5.14</v>
      </c>
      <c r="J473">
        <v>3.01</v>
      </c>
      <c r="K473">
        <v>1</v>
      </c>
      <c r="L473">
        <v>2</v>
      </c>
    </row>
    <row r="474" spans="1:12" x14ac:dyDescent="0.35">
      <c r="A474">
        <v>473</v>
      </c>
      <c r="B474" t="s">
        <v>12</v>
      </c>
      <c r="C474" t="s">
        <v>13</v>
      </c>
      <c r="D474" t="s">
        <v>14</v>
      </c>
      <c r="E474" t="s">
        <v>15</v>
      </c>
      <c r="F474" t="s">
        <v>1400</v>
      </c>
      <c r="G474" t="s">
        <v>1401</v>
      </c>
      <c r="H474" t="s">
        <v>1402</v>
      </c>
      <c r="I474">
        <v>11.88</v>
      </c>
      <c r="J474">
        <v>3.38</v>
      </c>
      <c r="K474">
        <v>4</v>
      </c>
      <c r="L474">
        <v>2</v>
      </c>
    </row>
    <row r="475" spans="1:12" x14ac:dyDescent="0.35">
      <c r="A475">
        <v>474</v>
      </c>
      <c r="B475" t="s">
        <v>22</v>
      </c>
      <c r="C475" t="s">
        <v>13</v>
      </c>
      <c r="D475" t="s">
        <v>31</v>
      </c>
      <c r="E475" t="s">
        <v>72</v>
      </c>
      <c r="F475" t="s">
        <v>1403</v>
      </c>
      <c r="G475" t="s">
        <v>1404</v>
      </c>
      <c r="H475" t="s">
        <v>1405</v>
      </c>
      <c r="I475">
        <v>3.89</v>
      </c>
      <c r="J475">
        <v>4.5</v>
      </c>
      <c r="K475">
        <v>2</v>
      </c>
      <c r="L475">
        <v>3</v>
      </c>
    </row>
    <row r="476" spans="1:12" x14ac:dyDescent="0.35">
      <c r="A476">
        <v>475</v>
      </c>
      <c r="B476" t="s">
        <v>12</v>
      </c>
      <c r="C476" t="s">
        <v>13</v>
      </c>
      <c r="D476" t="s">
        <v>14</v>
      </c>
      <c r="E476" t="s">
        <v>27</v>
      </c>
      <c r="F476" t="s">
        <v>1406</v>
      </c>
      <c r="G476" t="s">
        <v>1407</v>
      </c>
      <c r="H476" t="s">
        <v>1408</v>
      </c>
      <c r="I476">
        <v>21.16</v>
      </c>
      <c r="J476">
        <v>4.53</v>
      </c>
      <c r="K476">
        <v>4</v>
      </c>
      <c r="L476">
        <v>1</v>
      </c>
    </row>
    <row r="477" spans="1:12" x14ac:dyDescent="0.35">
      <c r="A477">
        <v>476</v>
      </c>
      <c r="B477" t="s">
        <v>26</v>
      </c>
      <c r="C477" t="s">
        <v>13</v>
      </c>
      <c r="D477" t="s">
        <v>14</v>
      </c>
      <c r="E477" t="s">
        <v>15</v>
      </c>
      <c r="F477" t="s">
        <v>1409</v>
      </c>
      <c r="G477" t="s">
        <v>1410</v>
      </c>
      <c r="H477" t="s">
        <v>1411</v>
      </c>
      <c r="I477">
        <v>9.9499999999999993</v>
      </c>
      <c r="J477">
        <v>6.76</v>
      </c>
      <c r="K477">
        <v>7</v>
      </c>
      <c r="L477">
        <v>3</v>
      </c>
    </row>
    <row r="478" spans="1:12" x14ac:dyDescent="0.35">
      <c r="A478">
        <v>477</v>
      </c>
      <c r="B478" t="s">
        <v>12</v>
      </c>
      <c r="C478" t="s">
        <v>13</v>
      </c>
      <c r="D478" t="s">
        <v>14</v>
      </c>
      <c r="E478" t="s">
        <v>27</v>
      </c>
      <c r="F478" t="s">
        <v>1412</v>
      </c>
      <c r="G478" t="s">
        <v>1413</v>
      </c>
      <c r="H478" t="s">
        <v>1414</v>
      </c>
      <c r="I478">
        <v>7.02</v>
      </c>
      <c r="J478">
        <v>4.3899999999999997</v>
      </c>
      <c r="K478">
        <v>5</v>
      </c>
      <c r="L478">
        <v>3</v>
      </c>
    </row>
    <row r="479" spans="1:12" x14ac:dyDescent="0.35">
      <c r="A479">
        <v>478</v>
      </c>
      <c r="B479" t="s">
        <v>22</v>
      </c>
      <c r="C479" t="s">
        <v>13</v>
      </c>
      <c r="D479" t="s">
        <v>31</v>
      </c>
      <c r="E479" t="s">
        <v>15</v>
      </c>
      <c r="F479" t="s">
        <v>1415</v>
      </c>
      <c r="G479" t="s">
        <v>1416</v>
      </c>
      <c r="H479" t="s">
        <v>1417</v>
      </c>
      <c r="I479">
        <v>56.22</v>
      </c>
      <c r="J479">
        <v>5.23</v>
      </c>
      <c r="K479">
        <v>9</v>
      </c>
      <c r="L479">
        <v>1</v>
      </c>
    </row>
    <row r="480" spans="1:12" x14ac:dyDescent="0.35">
      <c r="A480">
        <v>479</v>
      </c>
      <c r="B480" t="s">
        <v>12</v>
      </c>
      <c r="C480" t="s">
        <v>13</v>
      </c>
      <c r="D480" t="s">
        <v>14</v>
      </c>
      <c r="E480" t="s">
        <v>72</v>
      </c>
      <c r="F480" t="s">
        <v>1418</v>
      </c>
      <c r="G480" t="s">
        <v>1419</v>
      </c>
      <c r="H480" t="s">
        <v>1420</v>
      </c>
      <c r="I480">
        <v>3.62</v>
      </c>
      <c r="J480">
        <v>1.37</v>
      </c>
      <c r="K480">
        <v>2</v>
      </c>
      <c r="L480">
        <v>2</v>
      </c>
    </row>
    <row r="481" spans="1:12" x14ac:dyDescent="0.35">
      <c r="A481">
        <v>480</v>
      </c>
      <c r="B481" t="s">
        <v>22</v>
      </c>
      <c r="C481" t="s">
        <v>13</v>
      </c>
      <c r="D481" t="s">
        <v>14</v>
      </c>
      <c r="E481" t="s">
        <v>27</v>
      </c>
      <c r="F481" t="s">
        <v>1421</v>
      </c>
      <c r="G481" t="s">
        <v>1422</v>
      </c>
      <c r="H481" t="s">
        <v>1423</v>
      </c>
      <c r="I481">
        <v>11.38</v>
      </c>
      <c r="J481">
        <v>6.81</v>
      </c>
      <c r="K481">
        <v>6</v>
      </c>
      <c r="L481">
        <v>3</v>
      </c>
    </row>
    <row r="482" spans="1:12" x14ac:dyDescent="0.35">
      <c r="A482">
        <v>481</v>
      </c>
      <c r="B482" t="s">
        <v>38</v>
      </c>
      <c r="C482" t="s">
        <v>13</v>
      </c>
      <c r="D482" t="s">
        <v>14</v>
      </c>
      <c r="E482" t="s">
        <v>15</v>
      </c>
      <c r="F482" t="s">
        <v>1424</v>
      </c>
      <c r="G482" t="s">
        <v>1425</v>
      </c>
      <c r="H482" t="s">
        <v>1426</v>
      </c>
      <c r="I482">
        <v>26.09</v>
      </c>
      <c r="J482">
        <v>6.93</v>
      </c>
      <c r="K482">
        <v>9</v>
      </c>
      <c r="L482">
        <v>3</v>
      </c>
    </row>
    <row r="483" spans="1:12" x14ac:dyDescent="0.35">
      <c r="A483">
        <v>482</v>
      </c>
      <c r="B483" t="s">
        <v>22</v>
      </c>
      <c r="C483" t="s">
        <v>13</v>
      </c>
      <c r="D483" t="s">
        <v>31</v>
      </c>
      <c r="E483" t="s">
        <v>27</v>
      </c>
      <c r="F483" t="s">
        <v>1427</v>
      </c>
      <c r="G483" t="s">
        <v>1428</v>
      </c>
      <c r="H483" t="s">
        <v>1429</v>
      </c>
      <c r="I483">
        <v>33.840000000000003</v>
      </c>
      <c r="J483">
        <v>7.7</v>
      </c>
      <c r="K483">
        <v>5</v>
      </c>
      <c r="L483">
        <v>1</v>
      </c>
    </row>
    <row r="484" spans="1:12" x14ac:dyDescent="0.35">
      <c r="A484">
        <v>483</v>
      </c>
      <c r="B484" t="s">
        <v>26</v>
      </c>
      <c r="C484" t="s">
        <v>13</v>
      </c>
      <c r="D484" t="s">
        <v>31</v>
      </c>
      <c r="E484" t="s">
        <v>72</v>
      </c>
      <c r="F484" t="s">
        <v>1430</v>
      </c>
      <c r="G484" t="s">
        <v>440</v>
      </c>
      <c r="H484" t="s">
        <v>1431</v>
      </c>
      <c r="I484">
        <v>8.2799999999999994</v>
      </c>
      <c r="J484">
        <v>6.19</v>
      </c>
      <c r="K484">
        <v>5</v>
      </c>
      <c r="L484">
        <v>3</v>
      </c>
    </row>
    <row r="485" spans="1:12" x14ac:dyDescent="0.35">
      <c r="A485">
        <v>484</v>
      </c>
      <c r="B485" t="s">
        <v>12</v>
      </c>
      <c r="C485" t="s">
        <v>13</v>
      </c>
      <c r="D485" t="s">
        <v>14</v>
      </c>
      <c r="E485" t="s">
        <v>27</v>
      </c>
      <c r="F485" t="s">
        <v>1432</v>
      </c>
      <c r="G485" t="s">
        <v>1433</v>
      </c>
      <c r="H485" t="s">
        <v>1434</v>
      </c>
      <c r="I485">
        <v>5.96</v>
      </c>
      <c r="J485">
        <v>4.47</v>
      </c>
      <c r="K485">
        <v>4</v>
      </c>
      <c r="L485">
        <v>3</v>
      </c>
    </row>
    <row r="486" spans="1:12" x14ac:dyDescent="0.35">
      <c r="A486">
        <v>485</v>
      </c>
      <c r="B486" t="s">
        <v>26</v>
      </c>
      <c r="C486" t="s">
        <v>13</v>
      </c>
      <c r="D486" t="s">
        <v>31</v>
      </c>
      <c r="E486" t="s">
        <v>15</v>
      </c>
      <c r="F486" t="s">
        <v>1435</v>
      </c>
      <c r="G486" t="s">
        <v>1436</v>
      </c>
      <c r="H486" t="s">
        <v>1437</v>
      </c>
      <c r="I486">
        <v>42.05</v>
      </c>
      <c r="J486">
        <v>5.12</v>
      </c>
      <c r="K486">
        <v>7</v>
      </c>
      <c r="L486">
        <v>1</v>
      </c>
    </row>
    <row r="487" spans="1:12" x14ac:dyDescent="0.35">
      <c r="A487">
        <v>486</v>
      </c>
      <c r="B487" t="s">
        <v>12</v>
      </c>
      <c r="C487" t="s">
        <v>13</v>
      </c>
      <c r="D487" t="s">
        <v>14</v>
      </c>
      <c r="E487" t="s">
        <v>72</v>
      </c>
      <c r="F487" t="s">
        <v>1438</v>
      </c>
      <c r="G487" t="s">
        <v>1439</v>
      </c>
      <c r="H487" t="s">
        <v>1440</v>
      </c>
      <c r="I487">
        <v>14.84</v>
      </c>
      <c r="J487">
        <v>2.69</v>
      </c>
      <c r="K487">
        <v>4</v>
      </c>
      <c r="L487">
        <v>1</v>
      </c>
    </row>
    <row r="488" spans="1:12" x14ac:dyDescent="0.35">
      <c r="A488">
        <v>487</v>
      </c>
      <c r="B488" t="s">
        <v>26</v>
      </c>
      <c r="C488" t="s">
        <v>13</v>
      </c>
      <c r="D488" t="s">
        <v>31</v>
      </c>
      <c r="E488" t="s">
        <v>15</v>
      </c>
      <c r="F488" t="s">
        <v>1441</v>
      </c>
      <c r="G488" t="s">
        <v>1442</v>
      </c>
      <c r="H488" t="s">
        <v>1443</v>
      </c>
      <c r="I488">
        <v>15.87</v>
      </c>
      <c r="J488">
        <v>5.44</v>
      </c>
      <c r="K488">
        <v>5</v>
      </c>
      <c r="L488">
        <v>2</v>
      </c>
    </row>
    <row r="489" spans="1:12" x14ac:dyDescent="0.35">
      <c r="A489">
        <v>488</v>
      </c>
      <c r="B489" t="s">
        <v>12</v>
      </c>
      <c r="C489" t="s">
        <v>13</v>
      </c>
      <c r="D489" t="s">
        <v>14</v>
      </c>
      <c r="E489" t="s">
        <v>27</v>
      </c>
      <c r="F489" t="s">
        <v>1444</v>
      </c>
      <c r="G489" t="s">
        <v>1445</v>
      </c>
      <c r="H489" t="s">
        <v>1446</v>
      </c>
      <c r="I489">
        <v>3.67</v>
      </c>
      <c r="J489">
        <v>5.39</v>
      </c>
      <c r="K489">
        <v>3</v>
      </c>
      <c r="L489">
        <v>3</v>
      </c>
    </row>
    <row r="490" spans="1:12" x14ac:dyDescent="0.35">
      <c r="A490">
        <v>489</v>
      </c>
      <c r="B490" t="s">
        <v>22</v>
      </c>
      <c r="C490" t="s">
        <v>13</v>
      </c>
      <c r="D490" t="s">
        <v>14</v>
      </c>
      <c r="E490" t="s">
        <v>15</v>
      </c>
      <c r="F490" t="s">
        <v>1447</v>
      </c>
      <c r="G490" t="s">
        <v>1448</v>
      </c>
      <c r="H490" t="s">
        <v>1449</v>
      </c>
      <c r="I490">
        <v>8.16</v>
      </c>
      <c r="J490">
        <v>5.38</v>
      </c>
      <c r="K490">
        <v>4</v>
      </c>
      <c r="L490">
        <v>3</v>
      </c>
    </row>
    <row r="491" spans="1:12" x14ac:dyDescent="0.35">
      <c r="A491">
        <v>490</v>
      </c>
      <c r="B491" t="s">
        <v>12</v>
      </c>
      <c r="C491" t="s">
        <v>13</v>
      </c>
      <c r="D491" t="s">
        <v>31</v>
      </c>
      <c r="E491" t="s">
        <v>15</v>
      </c>
      <c r="F491" t="s">
        <v>1450</v>
      </c>
      <c r="G491" t="s">
        <v>1451</v>
      </c>
      <c r="H491" t="s">
        <v>1452</v>
      </c>
      <c r="I491">
        <v>15.13</v>
      </c>
      <c r="J491">
        <v>5.25</v>
      </c>
      <c r="K491">
        <v>3</v>
      </c>
      <c r="L491">
        <v>1</v>
      </c>
    </row>
    <row r="492" spans="1:12" x14ac:dyDescent="0.35">
      <c r="A492">
        <v>491</v>
      </c>
      <c r="B492" t="s">
        <v>12</v>
      </c>
      <c r="C492" t="s">
        <v>13</v>
      </c>
      <c r="D492" t="s">
        <v>14</v>
      </c>
      <c r="E492" t="s">
        <v>72</v>
      </c>
      <c r="F492" t="s">
        <v>1453</v>
      </c>
      <c r="G492" t="s">
        <v>1454</v>
      </c>
      <c r="H492" t="s">
        <v>1455</v>
      </c>
      <c r="I492">
        <v>8.9499999999999993</v>
      </c>
      <c r="J492">
        <v>3.4</v>
      </c>
      <c r="K492">
        <v>7</v>
      </c>
      <c r="L492">
        <v>3</v>
      </c>
    </row>
    <row r="493" spans="1:12" x14ac:dyDescent="0.35">
      <c r="A493">
        <v>492</v>
      </c>
      <c r="B493" t="s">
        <v>12</v>
      </c>
      <c r="C493" t="s">
        <v>13</v>
      </c>
      <c r="D493" t="s">
        <v>31</v>
      </c>
      <c r="E493" t="s">
        <v>15</v>
      </c>
      <c r="F493" t="s">
        <v>1456</v>
      </c>
      <c r="G493" t="s">
        <v>1457</v>
      </c>
      <c r="H493" t="s">
        <v>1458</v>
      </c>
      <c r="I493">
        <v>8.27</v>
      </c>
      <c r="J493">
        <v>4.22</v>
      </c>
      <c r="K493">
        <v>5</v>
      </c>
      <c r="L493">
        <v>3</v>
      </c>
    </row>
    <row r="494" spans="1:12" x14ac:dyDescent="0.35">
      <c r="A494">
        <v>493</v>
      </c>
      <c r="B494" t="s">
        <v>22</v>
      </c>
      <c r="C494" t="s">
        <v>13</v>
      </c>
      <c r="D494" t="s">
        <v>14</v>
      </c>
      <c r="E494" t="s">
        <v>72</v>
      </c>
      <c r="F494" t="s">
        <v>1459</v>
      </c>
      <c r="G494" t="s">
        <v>1460</v>
      </c>
      <c r="H494" t="s">
        <v>1461</v>
      </c>
      <c r="I494">
        <v>4.18</v>
      </c>
      <c r="J494">
        <v>4.29</v>
      </c>
      <c r="K494">
        <v>4</v>
      </c>
      <c r="L494">
        <v>3</v>
      </c>
    </row>
    <row r="495" spans="1:12" x14ac:dyDescent="0.35">
      <c r="A495">
        <v>494</v>
      </c>
      <c r="B495" t="s">
        <v>38</v>
      </c>
      <c r="C495" t="s">
        <v>13</v>
      </c>
      <c r="D495" t="s">
        <v>14</v>
      </c>
      <c r="E495" t="s">
        <v>27</v>
      </c>
      <c r="F495" t="s">
        <v>1462</v>
      </c>
      <c r="G495" t="s">
        <v>1463</v>
      </c>
      <c r="H495" t="s">
        <v>1014</v>
      </c>
      <c r="I495">
        <v>17.559999999999999</v>
      </c>
      <c r="J495">
        <v>8.11</v>
      </c>
      <c r="K495">
        <v>5</v>
      </c>
      <c r="L495">
        <v>2</v>
      </c>
    </row>
    <row r="496" spans="1:12" x14ac:dyDescent="0.35">
      <c r="A496">
        <v>495</v>
      </c>
      <c r="B496" t="s">
        <v>12</v>
      </c>
      <c r="C496" t="s">
        <v>13</v>
      </c>
      <c r="D496" t="s">
        <v>14</v>
      </c>
      <c r="E496" t="s">
        <v>27</v>
      </c>
      <c r="F496" t="s">
        <v>1464</v>
      </c>
      <c r="G496" t="s">
        <v>1465</v>
      </c>
      <c r="H496" t="s">
        <v>1466</v>
      </c>
      <c r="I496">
        <v>13.84</v>
      </c>
      <c r="J496">
        <v>3.82</v>
      </c>
      <c r="K496">
        <v>3</v>
      </c>
      <c r="L496">
        <v>1</v>
      </c>
    </row>
    <row r="497" spans="1:12" x14ac:dyDescent="0.35">
      <c r="A497">
        <v>496</v>
      </c>
      <c r="B497" t="s">
        <v>38</v>
      </c>
      <c r="C497" t="s">
        <v>13</v>
      </c>
      <c r="D497" t="s">
        <v>14</v>
      </c>
      <c r="E497" t="s">
        <v>27</v>
      </c>
      <c r="F497" t="s">
        <v>1467</v>
      </c>
      <c r="G497" t="s">
        <v>1237</v>
      </c>
      <c r="H497" t="s">
        <v>1468</v>
      </c>
      <c r="I497">
        <v>50.96</v>
      </c>
      <c r="J497">
        <v>7.11</v>
      </c>
      <c r="K497">
        <v>6</v>
      </c>
      <c r="L497">
        <v>1</v>
      </c>
    </row>
    <row r="498" spans="1:12" x14ac:dyDescent="0.35">
      <c r="A498">
        <v>497</v>
      </c>
      <c r="B498" t="s">
        <v>26</v>
      </c>
      <c r="C498" t="s">
        <v>13</v>
      </c>
      <c r="D498" t="s">
        <v>14</v>
      </c>
      <c r="E498" t="s">
        <v>27</v>
      </c>
      <c r="F498" t="s">
        <v>1469</v>
      </c>
      <c r="G498" t="s">
        <v>1470</v>
      </c>
      <c r="H498" t="s">
        <v>1471</v>
      </c>
      <c r="I498">
        <v>25.86</v>
      </c>
      <c r="J498">
        <v>5.12</v>
      </c>
      <c r="K498">
        <v>5</v>
      </c>
      <c r="L498">
        <v>1</v>
      </c>
    </row>
    <row r="499" spans="1:12" x14ac:dyDescent="0.35">
      <c r="A499">
        <v>498</v>
      </c>
      <c r="B499" t="s">
        <v>12</v>
      </c>
      <c r="C499" t="s">
        <v>13</v>
      </c>
      <c r="D499" t="s">
        <v>14</v>
      </c>
      <c r="E499" t="s">
        <v>15</v>
      </c>
      <c r="F499" t="s">
        <v>1472</v>
      </c>
      <c r="G499" t="s">
        <v>1473</v>
      </c>
      <c r="H499" t="s">
        <v>1474</v>
      </c>
      <c r="I499">
        <v>8.5299999999999994</v>
      </c>
      <c r="J499">
        <v>4.16</v>
      </c>
      <c r="K499">
        <v>2</v>
      </c>
      <c r="L499">
        <v>1</v>
      </c>
    </row>
    <row r="500" spans="1:12" x14ac:dyDescent="0.35">
      <c r="A500">
        <v>499</v>
      </c>
      <c r="B500" t="s">
        <v>22</v>
      </c>
      <c r="C500" t="s">
        <v>13</v>
      </c>
      <c r="D500" t="s">
        <v>14</v>
      </c>
      <c r="E500" t="s">
        <v>27</v>
      </c>
      <c r="F500" t="s">
        <v>1475</v>
      </c>
      <c r="G500" t="s">
        <v>1476</v>
      </c>
      <c r="H500" t="s">
        <v>1477</v>
      </c>
      <c r="I500">
        <v>15.88</v>
      </c>
      <c r="J500">
        <v>7.62</v>
      </c>
      <c r="K500">
        <v>3</v>
      </c>
      <c r="L500">
        <v>1</v>
      </c>
    </row>
    <row r="501" spans="1:12" x14ac:dyDescent="0.35">
      <c r="A501">
        <v>500</v>
      </c>
      <c r="B501" t="s">
        <v>22</v>
      </c>
      <c r="C501" t="s">
        <v>13</v>
      </c>
      <c r="D501" t="s">
        <v>14</v>
      </c>
      <c r="E501" t="s">
        <v>15</v>
      </c>
      <c r="F501" t="s">
        <v>1478</v>
      </c>
      <c r="G501" t="s">
        <v>1479</v>
      </c>
      <c r="H501" t="s">
        <v>1480</v>
      </c>
      <c r="I501">
        <v>8.83</v>
      </c>
      <c r="J501">
        <v>4.66</v>
      </c>
      <c r="K501">
        <v>2</v>
      </c>
      <c r="L50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6DBD-F7F8-4D42-9B47-D43B24B18484}">
  <dimension ref="A1"/>
  <sheetViews>
    <sheetView tabSelected="1" workbookViewId="0">
      <selection activeCell="J18" sqref="J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Descriptives</vt:lpstr>
      <vt:lpstr>Queueing Params</vt:lpstr>
      <vt:lpstr>Pivot Chart</vt:lpstr>
      <vt:lpstr>Data</vt:lpstr>
      <vt:lpstr>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2026-10-03T18:29:01Z</dcterms:created>
  <dcterms:modified xsi:type="dcterms:W3CDTF">2026-10-06T10:49:25Z</dcterms:modified>
</cp:coreProperties>
</file>